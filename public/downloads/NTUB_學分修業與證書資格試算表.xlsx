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證書資格審查總表" sheetId="1" r:id="rId1"/>
    <sheet name="📋全校課程總表" sheetId="2" r:id="rId2"/>
    <sheet name="企業永續經營管理" sheetId="3" r:id="rId3"/>
    <sheet name="創新與創業管理" sheetId="4" r:id="rId4"/>
    <sheet name="外語與商務" sheetId="5" r:id="rId5"/>
    <sheet name="大數據" sheetId="6" r:id="rId6"/>
    <sheet name="數位行銷" sheetId="7" r:id="rId7"/>
    <sheet name="數位行銷與語言科技應用" sheetId="8" r:id="rId8"/>
    <sheet name="數據分析與視覺化" sheetId="9" r:id="rId9"/>
    <sheet name="社群媒體行銷" sheetId="10" r:id="rId10"/>
    <sheet name="東亞語言與商務" sheetId="11" r:id="rId11"/>
    <sheet name="📖簡章設置要點" sheetId="12" r:id="rId12"/>
    <sheet name="✏️自訂學分表" sheetId="13" r:id="rId1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theme" Target="theme/theme1.xml"/><Relationship Id="rId15" Type="http://schemas.openxmlformats.org/officeDocument/2006/relationships/styles" Target="styles.xml"/><Relationship Id="rId1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17"/>
  <sheetViews>
    <sheetView workbookViewId="0"/>
  </sheetViews>
  <cols>
    <col min="1" max="1" width="6.83203125" customWidth="1"/>
    <col min="2" max="2" width="28.83203125" customWidth="1"/>
    <col min="3" max="3" width="10.83203125" customWidth="1"/>
    <col min="4" max="4" width="14.83203125" customWidth="1"/>
    <col min="5" max="5" width="14.83203125" customWidth="1"/>
    <col min="6" max="6" width="14.83203125" customWidth="1"/>
    <col min="7" max="7" width="14.83203125" customWidth="1"/>
    <col min="8" max="8" width="14.83203125" customWidth="1"/>
    <col min="9" max="9" width="14.83203125" customWidth="1"/>
    <col min="10" max="10" width="18.83203125" customWidth="1"/>
    <col min="11" max="11" width="14.83203125" customWidth="1"/>
    <col min="12" max="12" width="34.83203125" customWidth="1"/>
    <col min="13" max="13" width="18.83203125" customWidth="1"/>
  </cols>
  <sheetData>
    <row r="1">
      <c r="A1" t="str">
        <v>國立臺北商業大學 NTUB 學分學程暨微學程 — 修業證書資格審查總表 (Google Sheets / Excel 專用)</v>
      </c>
    </row>
    <row r="2">
      <c r="A2" t="str">
        <v>基準科系：資訊管理系（開課單位非資管系者自動判定為跨系/外系） ｜ 勾選各分頁的核取方塊即可即時試算</v>
      </c>
    </row>
    <row r="4">
      <c r="A4" t="str">
        <v>項次</v>
      </c>
      <c r="B4" t="str">
        <v>學程名稱</v>
      </c>
      <c r="C4" t="str">
        <v>學程類別</v>
      </c>
      <c r="D4" t="str">
        <v>應修總門檻</v>
      </c>
      <c r="E4" t="str">
        <v>已修總學分</v>
      </c>
      <c r="F4" t="str">
        <v>核心必修門檻</v>
      </c>
      <c r="G4" t="str">
        <v>必修已修</v>
      </c>
      <c r="H4" t="str">
        <v>專業選修門檻</v>
      </c>
      <c r="I4" t="str">
        <v>選修已修</v>
      </c>
      <c r="J4" t="str">
        <v>跨系要求</v>
      </c>
      <c r="K4" t="str">
        <v>跨系已修門數</v>
      </c>
      <c r="L4" t="str">
        <v>證書取得資格判定 (公式即時連動)</v>
      </c>
      <c r="M4" t="str">
        <v>所屬工作表分頁</v>
      </c>
    </row>
    <row r="5">
      <c r="A5">
        <v>1</v>
      </c>
      <c r="B5" t="str">
        <v>企業永續經營管理學分學程</v>
      </c>
      <c r="C5" t="str">
        <v>學分學程</v>
      </c>
      <c r="D5">
        <v>15</v>
      </c>
      <c r="E5">
        <f>=!F20</f>
      </c>
      <c r="F5">
        <v>2</v>
      </c>
      <c r="G5">
        <f>=!F21</f>
      </c>
      <c r="H5">
        <v>13</v>
      </c>
      <c r="I5">
        <f>=!F22</f>
      </c>
      <c r="J5" t="str">
        <v>需跨修至少1門外系</v>
      </c>
      <c r="K5">
        <f>=!F24</f>
      </c>
      <c r="L5">
        <f>=IF(AND(E5&gt;=D5, G5&gt;=F5, IF(J5="需跨修至少1門外系", K5&gt;=1, TRUE)), "🟢 ✓ 符合資格 (可申請證書)", "🔴 尚未達標 (學分不足或缺跨系)")</f>
      </c>
      <c r="M5" t="str">
        <v>企業永續經營管理</v>
      </c>
    </row>
    <row r="6">
      <c r="A6">
        <v>2</v>
      </c>
      <c r="B6" t="str">
        <v>創新與創業管理學分學程</v>
      </c>
      <c r="C6" t="str">
        <v>學分學程</v>
      </c>
      <c r="D6">
        <v>15</v>
      </c>
      <c r="E6">
        <f>=!F21</f>
      </c>
      <c r="F6">
        <v>2</v>
      </c>
      <c r="G6">
        <f>=!F22</f>
      </c>
      <c r="H6">
        <v>13</v>
      </c>
      <c r="I6">
        <f>=!F23</f>
      </c>
      <c r="J6" t="str">
        <v>需跨修至少1門外系</v>
      </c>
      <c r="K6">
        <f>=!F25</f>
      </c>
      <c r="L6">
        <f>=IF(AND(E6&gt;=D6, G6&gt;=F6, IF(J6="需跨修至少1門外系", K6&gt;=1, TRUE)), "🟢 ✓ 符合資格 (可申請證書)", "🔴 尚未達標 (學分不足或缺跨系)")</f>
      </c>
      <c r="M6" t="str">
        <v>創新與創業管理</v>
      </c>
    </row>
    <row r="7">
      <c r="A7">
        <v>3</v>
      </c>
      <c r="B7" t="str">
        <v>外語與商務學分學程</v>
      </c>
      <c r="C7" t="str">
        <v>學分學程</v>
      </c>
      <c r="D7">
        <v>15</v>
      </c>
      <c r="E7">
        <f>=!F33</f>
      </c>
      <c r="F7">
        <v>0</v>
      </c>
      <c r="G7">
        <f>=!F34</f>
      </c>
      <c r="H7">
        <v>0</v>
      </c>
      <c r="I7">
        <f>=!F35</f>
      </c>
      <c r="J7" t="str">
        <v>需跨修至少1門外系</v>
      </c>
      <c r="K7">
        <f>=!F37</f>
      </c>
      <c r="L7">
        <f>=IF(AND(E7&gt;=D7, G7&gt;=F7, IF(J7="需跨修至少1門外系", K7&gt;=1, TRUE)), "🟢 ✓ 符合資格 (可申請證書)", "🔴 尚未達標 (學分不足或缺跨系)")</f>
      </c>
      <c r="M7" t="str">
        <v>外語與商務</v>
      </c>
    </row>
    <row r="8">
      <c r="A8">
        <v>4</v>
      </c>
      <c r="B8" t="str">
        <v>大數據微學程</v>
      </c>
      <c r="C8" t="str">
        <v>微學程</v>
      </c>
      <c r="D8">
        <v>8</v>
      </c>
      <c r="E8">
        <f>=!F20</f>
      </c>
      <c r="F8">
        <v>0</v>
      </c>
      <c r="G8">
        <f>=!F21</f>
      </c>
      <c r="H8">
        <v>0</v>
      </c>
      <c r="I8">
        <f>=!F22</f>
      </c>
      <c r="J8" t="str">
        <v>需跨修至少1門外系</v>
      </c>
      <c r="K8">
        <f>=!F24</f>
      </c>
      <c r="L8">
        <f>=IF(AND(E8&gt;=D8, G8&gt;=F8, IF(J8="需跨修至少1門外系", K8&gt;=1, TRUE)), "🟢 ✓ 符合資格 (可申請證書)", "🔴 尚未達標 (學分不足或缺跨系)")</f>
      </c>
      <c r="M8" t="str">
        <v>大數據</v>
      </c>
    </row>
    <row r="9">
      <c r="A9">
        <v>5</v>
      </c>
      <c r="B9" t="str">
        <v>數位行銷學分學程</v>
      </c>
      <c r="C9" t="str">
        <v>學分學程</v>
      </c>
      <c r="D9">
        <v>15</v>
      </c>
      <c r="E9">
        <f>=!F24</f>
      </c>
      <c r="F9">
        <v>2</v>
      </c>
      <c r="G9">
        <f>=!F25</f>
      </c>
      <c r="H9">
        <v>13</v>
      </c>
      <c r="I9">
        <f>=!F26</f>
      </c>
      <c r="J9" t="str">
        <v>需跨修至少1門外系</v>
      </c>
      <c r="K9">
        <f>=!F28</f>
      </c>
      <c r="L9">
        <f>=IF(AND(E9&gt;=D9, G9&gt;=F9, IF(J9="需跨修至少1門外系", K9&gt;=1, TRUE)), "🟢 ✓ 符合資格 (可申請證書)", "🔴 尚未達標 (學分不足或缺跨系)")</f>
      </c>
      <c r="M9" t="str">
        <v>數位行銷</v>
      </c>
    </row>
    <row r="10">
      <c r="A10">
        <v>6</v>
      </c>
      <c r="B10" t="str">
        <v>數位行銷與語言科技應用微學程</v>
      </c>
      <c r="C10" t="str">
        <v>微學程</v>
      </c>
      <c r="D10">
        <v>8</v>
      </c>
      <c r="E10">
        <f>=!F19</f>
      </c>
      <c r="F10">
        <v>0</v>
      </c>
      <c r="G10">
        <f>=!F20</f>
      </c>
      <c r="H10">
        <v>0</v>
      </c>
      <c r="I10">
        <f>=!F21</f>
      </c>
      <c r="J10" t="str">
        <v>需跨修至少1門外系</v>
      </c>
      <c r="K10">
        <f>=!F23</f>
      </c>
      <c r="L10">
        <f>=IF(AND(E10&gt;=D10, G10&gt;=F10, IF(J10="需跨修至少1門外系", K10&gt;=1, TRUE)), "🟢 ✓ 符合資格 (可申請證書)", "🔴 尚未達標 (學分不足或缺跨系)")</f>
      </c>
      <c r="M10" t="str">
        <v>數位行銷與語言科技應用</v>
      </c>
    </row>
    <row r="11">
      <c r="A11">
        <v>7</v>
      </c>
      <c r="B11" t="str">
        <v>數據分析與視覺化微學程</v>
      </c>
      <c r="C11" t="str">
        <v>微學程</v>
      </c>
      <c r="D11">
        <v>8</v>
      </c>
      <c r="E11">
        <f>=!F27</f>
      </c>
      <c r="F11">
        <v>0</v>
      </c>
      <c r="G11">
        <f>=!F28</f>
      </c>
      <c r="H11">
        <v>0</v>
      </c>
      <c r="I11">
        <f>=!F29</f>
      </c>
      <c r="J11" t="str">
        <v>需跨修至少1門外系</v>
      </c>
      <c r="K11">
        <f>=!F31</f>
      </c>
      <c r="L11">
        <f>=IF(AND(E11&gt;=D11, G11&gt;=F11, IF(J11="需跨修至少1門外系", K11&gt;=1, TRUE)), "🟢 ✓ 符合資格 (可申請證書)", "🔴 尚未達標 (學分不足或缺跨系)")</f>
      </c>
      <c r="M11" t="str">
        <v>數據分析與視覺化</v>
      </c>
    </row>
    <row r="12">
      <c r="A12">
        <v>8</v>
      </c>
      <c r="B12" t="str">
        <v>社群媒體行銷微學程</v>
      </c>
      <c r="C12" t="str">
        <v>微學程</v>
      </c>
      <c r="D12">
        <v>12</v>
      </c>
      <c r="E12">
        <f>=!F20</f>
      </c>
      <c r="F12">
        <v>0</v>
      </c>
      <c r="G12">
        <f>=!F21</f>
      </c>
      <c r="H12">
        <v>0</v>
      </c>
      <c r="I12">
        <f>=!F22</f>
      </c>
      <c r="J12" t="str">
        <v>需跨修至少1門外系</v>
      </c>
      <c r="K12">
        <f>=!F24</f>
      </c>
      <c r="L12">
        <f>=IF(AND(E12&gt;=D12, G12&gt;=F12, IF(J12="需跨修至少1門外系", K12&gt;=1, TRUE)), "🟢 ✓ 符合資格 (可申請證書)", "🔴 尚未達標 (學分不足或缺跨系)")</f>
      </c>
      <c r="M12" t="str">
        <v>社群媒體行銷</v>
      </c>
    </row>
    <row r="13">
      <c r="A13">
        <v>9</v>
      </c>
      <c r="B13" t="str">
        <v>東亞語言與商務微學程</v>
      </c>
      <c r="C13" t="str">
        <v>微學程</v>
      </c>
      <c r="D13">
        <v>8</v>
      </c>
      <c r="E13">
        <f>=!F24</f>
      </c>
      <c r="F13">
        <v>0</v>
      </c>
      <c r="G13">
        <f>=!F25</f>
      </c>
      <c r="H13">
        <v>0</v>
      </c>
      <c r="I13">
        <f>=!F26</f>
      </c>
      <c r="J13" t="str">
        <v>需跨修至少1門外系</v>
      </c>
      <c r="K13">
        <f>=!F28</f>
      </c>
      <c r="L13">
        <f>=IF(AND(E13&gt;=D13, G13&gt;=F13, IF(J13="需跨修至少1門外系", K13&gt;=1, TRUE)), "🟢 ✓ 符合資格 (可申請證書)", "🔴 尚未達標 (學分不足或缺跨系)")</f>
      </c>
      <c r="M13" t="str">
        <v>東亞語言與商務</v>
      </c>
    </row>
    <row r="15">
      <c r="A15" t="str">
        <v>--- 💡 Google Sheets / Excel 使用小秘訣 ---</v>
      </c>
    </row>
    <row r="16">
      <c r="A16" t="str">
        <v>1. 本試算表在 Google Sheets 中可將 A 欄核取方塊（TRUE / FALSE）直接打勾，所有加總與證書審查公式將全自動即時更新！</v>
      </c>
    </row>
    <row r="17">
      <c r="A17" t="str">
        <v>2. 點擊下方各分頁標籤（如「巨量資料」、「數位行銷」等），可分別查看各學程專屬修課清單。</v>
      </c>
    </row>
  </sheetData>
  <ignoredErrors>
    <ignoredError numberStoredAsText="1" sqref="A1:M17"/>
  </ignoredErrors>
</worksheet>
</file>

<file path=xl/worksheets/sheet2.xml><?xml version="1.0" encoding="utf-8"?>
<worksheet xmlns="http://schemas.openxmlformats.org/spreadsheetml/2006/main" xmlns:r="http://schemas.openxmlformats.org/officeDocument/2006/relationships">
  <dimension ref="A1:I165"/>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35.83203125" customWidth="1"/>
  </cols>
  <sheetData>
    <row r="1">
      <c r="A1" t="str">
        <v>國立臺北商業大學 NTUB 學分學程與各系課程總表</v>
      </c>
    </row>
    <row r="2">
      <c r="A2" t="str">
        <v>A 欄為核取方塊 (勾選 TRUE 代表已修畢，取消 FALSE 代表未修) ｜ 開課單位非資管系者自動為跨系/外系</v>
      </c>
    </row>
    <row r="4">
      <c r="A4" t="str">
        <v>修業狀態 (核取方塊)</v>
      </c>
      <c r="B4" t="str">
        <v>課程代碼</v>
      </c>
      <c r="C4" t="str">
        <v>課程名稱</v>
      </c>
      <c r="D4" t="str">
        <v>開課系所</v>
      </c>
      <c r="E4" t="str">
        <v>修別</v>
      </c>
      <c r="F4" t="str">
        <v>學分數</v>
      </c>
      <c r="G4" t="str">
        <v>開課學期</v>
      </c>
      <c r="H4" t="str">
        <v>本系/外系判定</v>
      </c>
      <c r="I4" t="str">
        <v>所屬學分學程</v>
      </c>
    </row>
    <row r="5">
      <c r="A5" t="b">
        <v>0</v>
      </c>
      <c r="B5" t="str">
        <v>CS-1</v>
      </c>
      <c r="C5" t="str">
        <v>企業永續管理</v>
      </c>
      <c r="D5" t="str">
        <v>企業管理系</v>
      </c>
      <c r="E5" t="str">
        <v>選修</v>
      </c>
      <c r="F5">
        <v>2</v>
      </c>
      <c r="G5" t="str">
        <v>全學年</v>
      </c>
      <c r="H5" t="str">
        <v>外系/跨系</v>
      </c>
      <c r="I5" t="str">
        <v>企業永續經營管理學分學程</v>
      </c>
    </row>
    <row r="6">
      <c r="A6" t="b">
        <v>0</v>
      </c>
      <c r="B6" t="str">
        <v>CS-2</v>
      </c>
      <c r="C6" t="str">
        <v>生產與作業管理</v>
      </c>
      <c r="D6" t="str">
        <v>企業管理系</v>
      </c>
      <c r="E6" t="str">
        <v>選修</v>
      </c>
      <c r="F6">
        <v>3</v>
      </c>
      <c r="G6" t="str">
        <v>全學年</v>
      </c>
      <c r="H6" t="str">
        <v>外系/跨系</v>
      </c>
      <c r="I6" t="str">
        <v>企業永續經營管理學分學程</v>
      </c>
    </row>
    <row r="7">
      <c r="A7" t="b">
        <v>0</v>
      </c>
      <c r="B7" t="str">
        <v>CS-3</v>
      </c>
      <c r="C7" t="str">
        <v>通路管理</v>
      </c>
      <c r="D7" t="str">
        <v>企業管理系</v>
      </c>
      <c r="E7" t="str">
        <v>選修</v>
      </c>
      <c r="F7">
        <v>3</v>
      </c>
      <c r="G7" t="str">
        <v>全學年</v>
      </c>
      <c r="H7" t="str">
        <v>外系/跨系</v>
      </c>
      <c r="I7" t="str">
        <v>企業永續經營管理學分學程</v>
      </c>
    </row>
    <row r="8">
      <c r="A8" t="b">
        <v>0</v>
      </c>
      <c r="B8" t="str">
        <v>CS-4</v>
      </c>
      <c r="C8" t="str">
        <v>物流管理</v>
      </c>
      <c r="D8" t="str">
        <v>企業管理系</v>
      </c>
      <c r="E8" t="str">
        <v>選修</v>
      </c>
      <c r="F8">
        <v>2</v>
      </c>
      <c r="G8" t="str">
        <v>全學年</v>
      </c>
      <c r="H8" t="str">
        <v>外系/跨系</v>
      </c>
      <c r="I8" t="str">
        <v>企業永續經營管理學分學程</v>
      </c>
    </row>
    <row r="9">
      <c r="A9" t="b">
        <v>0</v>
      </c>
      <c r="B9" t="str">
        <v>CS-5</v>
      </c>
      <c r="C9" t="str">
        <v>非營利事業組織經營策略與管理</v>
      </c>
      <c r="D9" t="str">
        <v>企業管理系</v>
      </c>
      <c r="E9" t="str">
        <v>選修</v>
      </c>
      <c r="F9">
        <v>2</v>
      </c>
      <c r="G9" t="str">
        <v>全學年</v>
      </c>
      <c r="H9" t="str">
        <v>外系/跨系</v>
      </c>
      <c r="I9" t="str">
        <v>企業永續經營管理學分學程</v>
      </c>
    </row>
    <row r="10">
      <c r="A10" t="b">
        <v>0</v>
      </c>
      <c r="B10" t="str">
        <v>CS-6</v>
      </c>
      <c r="C10" t="str">
        <v>零售管理</v>
      </c>
      <c r="D10" t="str">
        <v>企業管理系</v>
      </c>
      <c r="E10" t="str">
        <v>選修</v>
      </c>
      <c r="F10">
        <v>2</v>
      </c>
      <c r="G10" t="str">
        <v>全學年</v>
      </c>
      <c r="H10" t="str">
        <v>外系/跨系</v>
      </c>
      <c r="I10" t="str">
        <v>企業永續經營管理學分學程</v>
      </c>
    </row>
    <row r="11">
      <c r="A11" t="b">
        <v>0</v>
      </c>
      <c r="B11" t="str">
        <v>CS-7</v>
      </c>
      <c r="C11" t="str">
        <v>供應鏈管理</v>
      </c>
      <c r="D11" t="str">
        <v>企業管理系 / 資管系(進修部)</v>
      </c>
      <c r="E11" t="str">
        <v>選修</v>
      </c>
      <c r="F11">
        <v>2</v>
      </c>
      <c r="G11" t="str">
        <v>全學年</v>
      </c>
      <c r="H11" t="str">
        <v>外系/跨系</v>
      </c>
      <c r="I11" t="str">
        <v>企業永續經營管理學分學程</v>
      </c>
    </row>
    <row r="12">
      <c r="A12" t="b">
        <v>0</v>
      </c>
      <c r="B12" t="str">
        <v>CS-8</v>
      </c>
      <c r="C12" t="str">
        <v>國際行銷管理</v>
      </c>
      <c r="D12" t="str">
        <v>國際商務系</v>
      </c>
      <c r="E12" t="str">
        <v>選修</v>
      </c>
      <c r="F12">
        <v>2</v>
      </c>
      <c r="G12" t="str">
        <v>全學年</v>
      </c>
      <c r="H12" t="str">
        <v>外系/跨系</v>
      </c>
      <c r="I12" t="str">
        <v>企業永續經營管理學分學程</v>
      </c>
    </row>
    <row r="13">
      <c r="A13" t="b">
        <v>0</v>
      </c>
      <c r="B13" t="str">
        <v>CS-9</v>
      </c>
      <c r="C13" t="str">
        <v>內部稽核與公司治理</v>
      </c>
      <c r="D13" t="str">
        <v>會計資訊系</v>
      </c>
      <c r="E13" t="str">
        <v>選修</v>
      </c>
      <c r="F13">
        <v>3</v>
      </c>
      <c r="G13" t="str">
        <v>全學年</v>
      </c>
      <c r="H13" t="str">
        <v>外系/跨系</v>
      </c>
      <c r="I13" t="str">
        <v>企業永續經營管理學分學程</v>
      </c>
    </row>
    <row r="14">
      <c r="A14" t="b">
        <v>0</v>
      </c>
      <c r="B14" t="str">
        <v>CS-10</v>
      </c>
      <c r="C14" t="str">
        <v>公司治理</v>
      </c>
      <c r="D14" t="str">
        <v>財務金融系</v>
      </c>
      <c r="E14" t="str">
        <v>選修</v>
      </c>
      <c r="F14">
        <v>3</v>
      </c>
      <c r="G14" t="str">
        <v>全學年</v>
      </c>
      <c r="H14" t="str">
        <v>外系/跨系</v>
      </c>
      <c r="I14" t="str">
        <v>企業永續經營管理學分學程</v>
      </c>
    </row>
    <row r="15">
      <c r="A15" t="b">
        <v>0</v>
      </c>
      <c r="B15" t="str">
        <v>CS-11</v>
      </c>
      <c r="C15" t="str">
        <v>智慧綠能</v>
      </c>
      <c r="D15" t="str">
        <v>通識教育中心</v>
      </c>
      <c r="E15" t="str">
        <v>選修</v>
      </c>
      <c r="F15">
        <v>2</v>
      </c>
      <c r="G15" t="str">
        <v>全學年</v>
      </c>
      <c r="H15" t="str">
        <v>外系/跨系</v>
      </c>
      <c r="I15" t="str">
        <v>企業永續經營管理學分學程</v>
      </c>
    </row>
    <row r="16">
      <c r="A16" t="b">
        <v>0</v>
      </c>
      <c r="B16" t="str">
        <v>CS-12</v>
      </c>
      <c r="C16" t="str">
        <v>全球環境變遷與永續發展</v>
      </c>
      <c r="D16" t="str">
        <v>通識教育中心</v>
      </c>
      <c r="E16" t="str">
        <v>選修</v>
      </c>
      <c r="F16">
        <v>2</v>
      </c>
      <c r="G16" t="str">
        <v>全學年</v>
      </c>
      <c r="H16" t="str">
        <v>外系/跨系</v>
      </c>
      <c r="I16" t="str">
        <v>企業永續經營管理學分學程</v>
      </c>
    </row>
    <row r="17">
      <c r="A17" t="b">
        <v>0</v>
      </c>
      <c r="B17" t="str">
        <v>CS-13</v>
      </c>
      <c r="C17" t="str">
        <v>綠生活與消費</v>
      </c>
      <c r="D17" t="str">
        <v>通識教育中心</v>
      </c>
      <c r="E17" t="str">
        <v>選修</v>
      </c>
      <c r="F17">
        <v>2</v>
      </c>
      <c r="G17" t="str">
        <v>全學年</v>
      </c>
      <c r="H17" t="str">
        <v>外系/跨系</v>
      </c>
      <c r="I17" t="str">
        <v>企業永續經營管理學分學程</v>
      </c>
    </row>
    <row r="18">
      <c r="A18" t="b">
        <v>0</v>
      </c>
      <c r="B18" t="str">
        <v>CS-14</v>
      </c>
      <c r="C18" t="str">
        <v>環境永續與企業綠化</v>
      </c>
      <c r="D18" t="str">
        <v>通識教育中心</v>
      </c>
      <c r="E18" t="str">
        <v>選修</v>
      </c>
      <c r="F18">
        <v>2</v>
      </c>
      <c r="G18" t="str">
        <v>全學年</v>
      </c>
      <c r="H18" t="str">
        <v>外系/跨系</v>
      </c>
      <c r="I18" t="str">
        <v>企業永續經營管理學分學程</v>
      </c>
    </row>
    <row r="19">
      <c r="A19" t="b">
        <v>0</v>
      </c>
      <c r="B19" t="str">
        <v>IE-1</v>
      </c>
      <c r="C19" t="str">
        <v>創新與創業管理</v>
      </c>
      <c r="D19" t="str">
        <v>企業管理系</v>
      </c>
      <c r="E19" t="str">
        <v>選修</v>
      </c>
      <c r="F19">
        <v>2</v>
      </c>
      <c r="G19" t="str">
        <v>全學年</v>
      </c>
      <c r="H19" t="str">
        <v>外系/跨系</v>
      </c>
      <c r="I19" t="str">
        <v>創新與創業管理學分學程</v>
      </c>
    </row>
    <row r="20">
      <c r="A20" t="b">
        <v>0</v>
      </c>
      <c r="B20" t="str">
        <v>IE-2</v>
      </c>
      <c r="C20" t="str">
        <v>產業競爭分析</v>
      </c>
      <c r="D20" t="str">
        <v>企業管理系</v>
      </c>
      <c r="E20" t="str">
        <v>選修</v>
      </c>
      <c r="F20">
        <v>2</v>
      </c>
      <c r="G20" t="str">
        <v>全學年</v>
      </c>
      <c r="H20" t="str">
        <v>外系/跨系</v>
      </c>
      <c r="I20" t="str">
        <v>創新與創業管理學分學程</v>
      </c>
    </row>
    <row r="21">
      <c r="A21" t="b">
        <v>0</v>
      </c>
      <c r="B21" t="str">
        <v>IE-3</v>
      </c>
      <c r="C21" t="str">
        <v>顧客關係管理</v>
      </c>
      <c r="D21" t="str">
        <v>企業管理系</v>
      </c>
      <c r="E21" t="str">
        <v>選修</v>
      </c>
      <c r="F21">
        <v>2</v>
      </c>
      <c r="G21" t="str">
        <v>全學年</v>
      </c>
      <c r="H21" t="str">
        <v>外系/跨系</v>
      </c>
      <c r="I21" t="str">
        <v>創新與創業管理學分學程</v>
      </c>
    </row>
    <row r="22">
      <c r="A22" t="b">
        <v>0</v>
      </c>
      <c r="B22" t="str">
        <v>IE-4</v>
      </c>
      <c r="C22" t="str">
        <v>服務業管理</v>
      </c>
      <c r="D22" t="str">
        <v>企業管理系</v>
      </c>
      <c r="E22" t="str">
        <v>選修</v>
      </c>
      <c r="F22">
        <v>2</v>
      </c>
      <c r="G22" t="str">
        <v>全學年</v>
      </c>
      <c r="H22" t="str">
        <v>外系/跨系</v>
      </c>
      <c r="I22" t="str">
        <v>創新與創業管理學分學程</v>
      </c>
    </row>
    <row r="23">
      <c r="A23" t="b">
        <v>0</v>
      </c>
      <c r="B23" t="str">
        <v>IE-5</v>
      </c>
      <c r="C23" t="str">
        <v>新產品行銷</v>
      </c>
      <c r="D23" t="str">
        <v>企業管理系</v>
      </c>
      <c r="E23" t="str">
        <v>選修</v>
      </c>
      <c r="F23">
        <v>2</v>
      </c>
      <c r="G23" t="str">
        <v>全學年</v>
      </c>
      <c r="H23" t="str">
        <v>外系/跨系</v>
      </c>
      <c r="I23" t="str">
        <v>創新與創業管理學分學程</v>
      </c>
    </row>
    <row r="24">
      <c r="A24" t="b">
        <v>0</v>
      </c>
      <c r="B24" t="str">
        <v>IE-6</v>
      </c>
      <c r="C24" t="str">
        <v>行銷企劃實作</v>
      </c>
      <c r="D24" t="str">
        <v>企業管理系</v>
      </c>
      <c r="E24" t="str">
        <v>選修</v>
      </c>
      <c r="F24">
        <v>2</v>
      </c>
      <c r="G24" t="str">
        <v>全學年</v>
      </c>
      <c r="H24" t="str">
        <v>外系/跨系</v>
      </c>
      <c r="I24" t="str">
        <v>創新與創業管理學分學程</v>
      </c>
    </row>
    <row r="25">
      <c r="A25" t="b">
        <v>0</v>
      </c>
      <c r="B25" t="str">
        <v>IE-7</v>
      </c>
      <c r="C25" t="str">
        <v>企業成功個案</v>
      </c>
      <c r="D25" t="str">
        <v>企業管理系</v>
      </c>
      <c r="E25" t="str">
        <v>選修</v>
      </c>
      <c r="F25">
        <v>2</v>
      </c>
      <c r="G25" t="str">
        <v>全學年</v>
      </c>
      <c r="H25" t="str">
        <v>外系/跨系</v>
      </c>
      <c r="I25" t="str">
        <v>創新與創業管理學分學程</v>
      </c>
    </row>
    <row r="26">
      <c r="A26" t="b">
        <v>0</v>
      </c>
      <c r="B26" t="str">
        <v>IE-8</v>
      </c>
      <c r="C26" t="str">
        <v>企業品牌個案</v>
      </c>
      <c r="D26" t="str">
        <v>企業管理系</v>
      </c>
      <c r="E26" t="str">
        <v>選修</v>
      </c>
      <c r="F26">
        <v>2</v>
      </c>
      <c r="G26" t="str">
        <v>全學年</v>
      </c>
      <c r="H26" t="str">
        <v>外系/跨系</v>
      </c>
      <c r="I26" t="str">
        <v>創新與創業管理學分學程</v>
      </c>
    </row>
    <row r="27">
      <c r="A27" t="b">
        <v>0</v>
      </c>
      <c r="B27" t="str">
        <v>IE-9</v>
      </c>
      <c r="C27" t="str">
        <v>全球產業分析</v>
      </c>
      <c r="D27" t="str">
        <v>國際商務系</v>
      </c>
      <c r="E27" t="str">
        <v>選修</v>
      </c>
      <c r="F27">
        <v>2</v>
      </c>
      <c r="G27" t="str">
        <v>全學年</v>
      </c>
      <c r="H27" t="str">
        <v>外系/跨系</v>
      </c>
      <c r="I27" t="str">
        <v>創新與創業管理學分學程</v>
      </c>
    </row>
    <row r="28">
      <c r="A28" t="b">
        <v>0</v>
      </c>
      <c r="B28" t="str">
        <v>IE-10</v>
      </c>
      <c r="C28" t="str">
        <v>跨文化商務溝通</v>
      </c>
      <c r="D28" t="str">
        <v>國際商務系</v>
      </c>
      <c r="E28" t="str">
        <v>選修</v>
      </c>
      <c r="F28">
        <v>2</v>
      </c>
      <c r="G28" t="str">
        <v>全學年</v>
      </c>
      <c r="H28" t="str">
        <v>外系/跨系</v>
      </c>
      <c r="I28" t="str">
        <v>創新與創業管理學分學程</v>
      </c>
    </row>
    <row r="29">
      <c r="A29" t="b">
        <v>0</v>
      </c>
      <c r="B29" t="str">
        <v>IE-11</v>
      </c>
      <c r="C29" t="str">
        <v>國際經貿情勢分析</v>
      </c>
      <c r="D29" t="str">
        <v>國際商務系</v>
      </c>
      <c r="E29" t="str">
        <v>選修</v>
      </c>
      <c r="F29">
        <v>2</v>
      </c>
      <c r="G29" t="str">
        <v>全學年</v>
      </c>
      <c r="H29" t="str">
        <v>外系/跨系</v>
      </c>
      <c r="I29" t="str">
        <v>創新與創業管理學分學程</v>
      </c>
    </row>
    <row r="30">
      <c r="A30" t="b">
        <v>0</v>
      </c>
      <c r="B30" t="str">
        <v>IE-12</v>
      </c>
      <c r="C30" t="str">
        <v>跨境電子商務</v>
      </c>
      <c r="D30" t="str">
        <v>國際商務系</v>
      </c>
      <c r="E30" t="str">
        <v>選修</v>
      </c>
      <c r="F30">
        <v>2</v>
      </c>
      <c r="G30" t="str">
        <v>全學年</v>
      </c>
      <c r="H30" t="str">
        <v>外系/跨系</v>
      </c>
      <c r="I30" t="str">
        <v>創新與創業管理學分學程</v>
      </c>
    </row>
    <row r="31">
      <c r="A31" t="b">
        <v>0</v>
      </c>
      <c r="B31" t="str">
        <v>IE-13</v>
      </c>
      <c r="C31" t="str">
        <v>風險管理</v>
      </c>
      <c r="D31" t="str">
        <v>財務金融系</v>
      </c>
      <c r="E31" t="str">
        <v>選修</v>
      </c>
      <c r="F31">
        <v>2</v>
      </c>
      <c r="G31" t="str">
        <v>全學年</v>
      </c>
      <c r="H31" t="str">
        <v>外系/跨系</v>
      </c>
      <c r="I31" t="str">
        <v>創新與創業管理學分學程</v>
      </c>
    </row>
    <row r="32">
      <c r="A32" t="b">
        <v>0</v>
      </c>
      <c r="B32" t="str">
        <v>IE-14</v>
      </c>
      <c r="C32" t="str">
        <v>商業模式研討</v>
      </c>
      <c r="D32" t="str">
        <v>會計資訊系</v>
      </c>
      <c r="E32" t="str">
        <v>選修</v>
      </c>
      <c r="F32">
        <v>2</v>
      </c>
      <c r="G32" t="str">
        <v>全學年</v>
      </c>
      <c r="H32" t="str">
        <v>外系/跨系</v>
      </c>
      <c r="I32" t="str">
        <v>創新與創業管理學分學程</v>
      </c>
    </row>
    <row r="33">
      <c r="A33" t="b">
        <v>0</v>
      </c>
      <c r="B33" t="str">
        <v>IE-15</v>
      </c>
      <c r="C33" t="str">
        <v>創新與專案管理</v>
      </c>
      <c r="D33" t="str">
        <v>應用外語系</v>
      </c>
      <c r="E33" t="str">
        <v>選修</v>
      </c>
      <c r="F33">
        <v>2</v>
      </c>
      <c r="G33" t="str">
        <v>全學年</v>
      </c>
      <c r="H33" t="str">
        <v>外系/跨系</v>
      </c>
      <c r="I33" t="str">
        <v>創新與創業管理學分學程</v>
      </c>
    </row>
    <row r="34">
      <c r="A34" t="b">
        <v>0</v>
      </c>
      <c r="B34" t="str">
        <v>FB-1</v>
      </c>
      <c r="C34" t="str">
        <v>日語(一)(二)(三)(四)</v>
      </c>
      <c r="D34" t="str">
        <v>國際商務系 / 應用外語系</v>
      </c>
      <c r="E34" t="str">
        <v>選修</v>
      </c>
      <c r="F34">
        <v>2</v>
      </c>
      <c r="G34" t="str">
        <v>全學年</v>
      </c>
      <c r="H34" t="str">
        <v>外系/跨系</v>
      </c>
      <c r="I34" t="str">
        <v>外語與商務學分學程</v>
      </c>
    </row>
    <row r="35">
      <c r="A35" t="b">
        <v>0</v>
      </c>
      <c r="B35" t="str">
        <v>FB-2</v>
      </c>
      <c r="C35" t="str">
        <v>日語字彙與會話</v>
      </c>
      <c r="D35" t="str">
        <v>應用外語系</v>
      </c>
      <c r="E35" t="str">
        <v>選修</v>
      </c>
      <c r="F35">
        <v>2</v>
      </c>
      <c r="G35" t="str">
        <v>全學年</v>
      </c>
      <c r="H35" t="str">
        <v>外系/跨系</v>
      </c>
      <c r="I35" t="str">
        <v>外語與商務學分學程</v>
      </c>
    </row>
    <row r="36">
      <c r="A36" t="b">
        <v>0</v>
      </c>
      <c r="B36" t="str">
        <v>FB-3</v>
      </c>
      <c r="C36" t="str">
        <v>日語閱讀與文法</v>
      </c>
      <c r="D36" t="str">
        <v>應用外語系</v>
      </c>
      <c r="E36" t="str">
        <v>選修</v>
      </c>
      <c r="F36">
        <v>2</v>
      </c>
      <c r="G36" t="str">
        <v>全學年</v>
      </c>
      <c r="H36" t="str">
        <v>外系/跨系</v>
      </c>
      <c r="I36" t="str">
        <v>外語與商務學分學程</v>
      </c>
    </row>
    <row r="37">
      <c r="A37" t="b">
        <v>0</v>
      </c>
      <c r="B37" t="str">
        <v>FB-4</v>
      </c>
      <c r="C37" t="str">
        <v>日語寫作與翻譯</v>
      </c>
      <c r="D37" t="str">
        <v>應用外語系</v>
      </c>
      <c r="E37" t="str">
        <v>選修</v>
      </c>
      <c r="F37">
        <v>2</v>
      </c>
      <c r="G37" t="str">
        <v>全學年</v>
      </c>
      <c r="H37" t="str">
        <v>外系/跨系</v>
      </c>
      <c r="I37" t="str">
        <v>外語與商務學分學程</v>
      </c>
    </row>
    <row r="38">
      <c r="A38" t="b">
        <v>0</v>
      </c>
      <c r="B38" t="str">
        <v>FB-5</v>
      </c>
      <c r="C38" t="str">
        <v>韓語(一)(二)(三)(四)</v>
      </c>
      <c r="D38" t="str">
        <v>國際商務系</v>
      </c>
      <c r="E38" t="str">
        <v>選修</v>
      </c>
      <c r="F38">
        <v>2</v>
      </c>
      <c r="G38" t="str">
        <v>全學年</v>
      </c>
      <c r="H38" t="str">
        <v>外系/跨系</v>
      </c>
      <c r="I38" t="str">
        <v>外語與商務學分學程</v>
      </c>
    </row>
    <row r="39">
      <c r="A39" t="b">
        <v>0</v>
      </c>
      <c r="B39" t="str">
        <v>FB-6</v>
      </c>
      <c r="C39" t="str">
        <v>實用韓語</v>
      </c>
      <c r="D39" t="str">
        <v>應用外語系</v>
      </c>
      <c r="E39" t="str">
        <v>選修</v>
      </c>
      <c r="F39">
        <v>2</v>
      </c>
      <c r="G39" t="str">
        <v>全學年</v>
      </c>
      <c r="H39" t="str">
        <v>外系/跨系</v>
      </c>
      <c r="I39" t="str">
        <v>外語與商務學分學程</v>
      </c>
    </row>
    <row r="40">
      <c r="A40" t="b">
        <v>0</v>
      </c>
      <c r="B40" t="str">
        <v>FB-7</v>
      </c>
      <c r="C40" t="str">
        <v>越南語(一)(二)</v>
      </c>
      <c r="D40" t="str">
        <v>國際商務系</v>
      </c>
      <c r="E40" t="str">
        <v>選修</v>
      </c>
      <c r="F40">
        <v>2</v>
      </c>
      <c r="G40" t="str">
        <v>全學年</v>
      </c>
      <c r="H40" t="str">
        <v>外系/跨系</v>
      </c>
      <c r="I40" t="str">
        <v>外語與商務學分學程</v>
      </c>
    </row>
    <row r="41">
      <c r="A41" t="b">
        <v>0</v>
      </c>
      <c r="B41" t="str">
        <v>FB-8</v>
      </c>
      <c r="C41" t="str">
        <v>泰國語(一)(二)</v>
      </c>
      <c r="D41" t="str">
        <v>國際商務系</v>
      </c>
      <c r="E41" t="str">
        <v>選修</v>
      </c>
      <c r="F41">
        <v>2</v>
      </c>
      <c r="G41" t="str">
        <v>全學年</v>
      </c>
      <c r="H41" t="str">
        <v>外系/跨系</v>
      </c>
      <c r="I41" t="str">
        <v>外語與商務學分學程</v>
      </c>
    </row>
    <row r="42">
      <c r="A42" t="b">
        <v>0</v>
      </c>
      <c r="B42" t="str">
        <v>FB-9</v>
      </c>
      <c r="C42" t="str">
        <v>西語字彙與會話</v>
      </c>
      <c r="D42" t="str">
        <v>應用外語系</v>
      </c>
      <c r="E42" t="str">
        <v>選修</v>
      </c>
      <c r="F42">
        <v>2</v>
      </c>
      <c r="G42" t="str">
        <v>全學年</v>
      </c>
      <c r="H42" t="str">
        <v>外系/跨系</v>
      </c>
      <c r="I42" t="str">
        <v>外語與商務學分學程</v>
      </c>
    </row>
    <row r="43">
      <c r="A43" t="b">
        <v>0</v>
      </c>
      <c r="B43" t="str">
        <v>FB-10</v>
      </c>
      <c r="C43" t="str">
        <v>西語閱讀與文法</v>
      </c>
      <c r="D43" t="str">
        <v>應用外語系</v>
      </c>
      <c r="E43" t="str">
        <v>選修</v>
      </c>
      <c r="F43">
        <v>2</v>
      </c>
      <c r="G43" t="str">
        <v>全學年</v>
      </c>
      <c r="H43" t="str">
        <v>外系/跨系</v>
      </c>
      <c r="I43" t="str">
        <v>外語與商務學分學程</v>
      </c>
    </row>
    <row r="44">
      <c r="A44" t="b">
        <v>0</v>
      </c>
      <c r="B44" t="str">
        <v>FB-11</v>
      </c>
      <c r="C44" t="str">
        <v>西班牙語(一)(二)</v>
      </c>
      <c r="D44" t="str">
        <v>應用外語系</v>
      </c>
      <c r="E44" t="str">
        <v>選修</v>
      </c>
      <c r="F44">
        <v>3</v>
      </c>
      <c r="G44" t="str">
        <v>全學年</v>
      </c>
      <c r="H44" t="str">
        <v>外系/跨系</v>
      </c>
      <c r="I44" t="str">
        <v>外語與商務學分學程</v>
      </c>
    </row>
    <row r="45">
      <c r="A45" t="b">
        <v>0</v>
      </c>
      <c r="B45" t="str">
        <v>FB-12</v>
      </c>
      <c r="C45" t="str">
        <v>法語字彙與會話</v>
      </c>
      <c r="D45" t="str">
        <v>應用外語系</v>
      </c>
      <c r="E45" t="str">
        <v>選修</v>
      </c>
      <c r="F45">
        <v>2</v>
      </c>
      <c r="G45" t="str">
        <v>全學年</v>
      </c>
      <c r="H45" t="str">
        <v>外系/跨系</v>
      </c>
      <c r="I45" t="str">
        <v>外語與商務學分學程</v>
      </c>
    </row>
    <row r="46">
      <c r="A46" t="b">
        <v>0</v>
      </c>
      <c r="B46" t="str">
        <v>FB-13</v>
      </c>
      <c r="C46" t="str">
        <v>法語閱讀與文法</v>
      </c>
      <c r="D46" t="str">
        <v>應用外語系</v>
      </c>
      <c r="E46" t="str">
        <v>選修</v>
      </c>
      <c r="F46">
        <v>2</v>
      </c>
      <c r="G46" t="str">
        <v>全學年</v>
      </c>
      <c r="H46" t="str">
        <v>外系/跨系</v>
      </c>
      <c r="I46" t="str">
        <v>外語與商務學分學程</v>
      </c>
    </row>
    <row r="47">
      <c r="A47" t="b">
        <v>0</v>
      </c>
      <c r="B47" t="str">
        <v>FB-14</v>
      </c>
      <c r="C47" t="str">
        <v>法語(一)(二)</v>
      </c>
      <c r="D47" t="str">
        <v>應用外語系</v>
      </c>
      <c r="E47" t="str">
        <v>選修</v>
      </c>
      <c r="F47">
        <v>3</v>
      </c>
      <c r="G47" t="str">
        <v>全學年</v>
      </c>
      <c r="H47" t="str">
        <v>外系/跨系</v>
      </c>
      <c r="I47" t="str">
        <v>外語與商務學分學程</v>
      </c>
    </row>
    <row r="48">
      <c r="A48" t="b">
        <v>0</v>
      </c>
      <c r="B48" t="str">
        <v>FB-15</v>
      </c>
      <c r="C48" t="str">
        <v>德語字彙與會話</v>
      </c>
      <c r="D48" t="str">
        <v>應用外語系</v>
      </c>
      <c r="E48" t="str">
        <v>選修</v>
      </c>
      <c r="F48">
        <v>2</v>
      </c>
      <c r="G48" t="str">
        <v>全學年</v>
      </c>
      <c r="H48" t="str">
        <v>外系/跨系</v>
      </c>
      <c r="I48" t="str">
        <v>外語與商務學分學程</v>
      </c>
    </row>
    <row r="49">
      <c r="A49" t="b">
        <v>0</v>
      </c>
      <c r="B49" t="str">
        <v>FB-16</v>
      </c>
      <c r="C49" t="str">
        <v>德語閱讀與文法</v>
      </c>
      <c r="D49" t="str">
        <v>應用外語系</v>
      </c>
      <c r="E49" t="str">
        <v>選修</v>
      </c>
      <c r="F49">
        <v>2</v>
      </c>
      <c r="G49" t="str">
        <v>全學年</v>
      </c>
      <c r="H49" t="str">
        <v>外系/跨系</v>
      </c>
      <c r="I49" t="str">
        <v>外語與商務學分學程</v>
      </c>
    </row>
    <row r="50">
      <c r="A50" t="b">
        <v>0</v>
      </c>
      <c r="B50" t="str">
        <v>FB-17</v>
      </c>
      <c r="C50" t="str">
        <v>德語(一)(二)</v>
      </c>
      <c r="D50" t="str">
        <v>應用外語系</v>
      </c>
      <c r="E50" t="str">
        <v>選修</v>
      </c>
      <c r="F50">
        <v>3</v>
      </c>
      <c r="G50" t="str">
        <v>全學年</v>
      </c>
      <c r="H50" t="str">
        <v>外系/跨系</v>
      </c>
      <c r="I50" t="str">
        <v>外語與商務學分學程</v>
      </c>
    </row>
    <row r="51">
      <c r="A51" t="b">
        <v>0</v>
      </c>
      <c r="B51" t="str">
        <v>FB-18</v>
      </c>
      <c r="C51" t="str">
        <v>現代商業導論與學習方法</v>
      </c>
      <c r="D51" t="str">
        <v>國際商務系 / 應用外語系</v>
      </c>
      <c r="E51" t="str">
        <v>選修</v>
      </c>
      <c r="F51">
        <v>2</v>
      </c>
      <c r="G51" t="str">
        <v>全學年</v>
      </c>
      <c r="H51" t="str">
        <v>外系/跨系</v>
      </c>
      <c r="I51" t="str">
        <v>外語與商務學分學程</v>
      </c>
    </row>
    <row r="52">
      <c r="A52" t="b">
        <v>0</v>
      </c>
      <c r="B52" t="str">
        <v>FB-19</v>
      </c>
      <c r="C52" t="str">
        <v>國際行銷</v>
      </c>
      <c r="D52" t="str">
        <v>國際商務系 / 應用外語系</v>
      </c>
      <c r="E52" t="str">
        <v>選修</v>
      </c>
      <c r="F52">
        <v>2</v>
      </c>
      <c r="G52" t="str">
        <v>全學年</v>
      </c>
      <c r="H52" t="str">
        <v>外系/跨系</v>
      </c>
      <c r="I52" t="str">
        <v>外語與商務學分學程</v>
      </c>
    </row>
    <row r="53">
      <c r="A53" t="b">
        <v>0</v>
      </c>
      <c r="B53" t="str">
        <v>FB-20</v>
      </c>
      <c r="C53" t="str">
        <v>全球運籌管理</v>
      </c>
      <c r="D53" t="str">
        <v>國際商務系</v>
      </c>
      <c r="E53" t="str">
        <v>選修</v>
      </c>
      <c r="F53">
        <v>2</v>
      </c>
      <c r="G53" t="str">
        <v>全學年</v>
      </c>
      <c r="H53" t="str">
        <v>外系/跨系</v>
      </c>
      <c r="I53" t="str">
        <v>外語與商務學分學程</v>
      </c>
    </row>
    <row r="54">
      <c r="A54" t="b">
        <v>0</v>
      </c>
      <c r="B54" t="str">
        <v>FB-21</v>
      </c>
      <c r="C54" t="str">
        <v>國際經貿情勢分析</v>
      </c>
      <c r="D54" t="str">
        <v>國際商務系</v>
      </c>
      <c r="E54" t="str">
        <v>選修</v>
      </c>
      <c r="F54">
        <v>2</v>
      </c>
      <c r="G54" t="str">
        <v>全學年</v>
      </c>
      <c r="H54" t="str">
        <v>外系/跨系</v>
      </c>
      <c r="I54" t="str">
        <v>外語與商務學分學程</v>
      </c>
    </row>
    <row r="55">
      <c r="A55" t="b">
        <v>0</v>
      </c>
      <c r="B55" t="str">
        <v>FB-22</v>
      </c>
      <c r="C55" t="str">
        <v>東南亞商務環境</v>
      </c>
      <c r="D55" t="str">
        <v>國際商務系</v>
      </c>
      <c r="E55" t="str">
        <v>選修</v>
      </c>
      <c r="F55">
        <v>2</v>
      </c>
      <c r="G55" t="str">
        <v>全學年</v>
      </c>
      <c r="H55" t="str">
        <v>外系/跨系</v>
      </c>
      <c r="I55" t="str">
        <v>外語與商務學分學程</v>
      </c>
    </row>
    <row r="56">
      <c r="A56" t="b">
        <v>0</v>
      </c>
      <c r="B56" t="str">
        <v>FB-23</v>
      </c>
      <c r="C56" t="str">
        <v>跨文化商務溝通</v>
      </c>
      <c r="D56" t="str">
        <v>國際商務系</v>
      </c>
      <c r="E56" t="str">
        <v>選修</v>
      </c>
      <c r="F56">
        <v>2</v>
      </c>
      <c r="G56" t="str">
        <v>全學年</v>
      </c>
      <c r="H56" t="str">
        <v>外系/跨系</v>
      </c>
      <c r="I56" t="str">
        <v>外語與商務學分學程</v>
      </c>
    </row>
    <row r="57">
      <c r="A57" t="b">
        <v>0</v>
      </c>
      <c r="B57" t="str">
        <v>FB-24</v>
      </c>
      <c r="C57" t="str">
        <v>數位行銷</v>
      </c>
      <c r="D57" t="str">
        <v>國際商務系</v>
      </c>
      <c r="E57" t="str">
        <v>選修</v>
      </c>
      <c r="F57">
        <v>2</v>
      </c>
      <c r="G57" t="str">
        <v>全學年</v>
      </c>
      <c r="H57" t="str">
        <v>外系/跨系</v>
      </c>
      <c r="I57" t="str">
        <v>外語與商務學分學程</v>
      </c>
    </row>
    <row r="58">
      <c r="A58" t="b">
        <v>0</v>
      </c>
      <c r="B58" t="str">
        <v>FB-25</v>
      </c>
      <c r="C58" t="str">
        <v>網路行銷</v>
      </c>
      <c r="D58" t="str">
        <v>應用外語系</v>
      </c>
      <c r="E58" t="str">
        <v>選修</v>
      </c>
      <c r="F58">
        <v>2</v>
      </c>
      <c r="G58" t="str">
        <v>全學年</v>
      </c>
      <c r="H58" t="str">
        <v>外系/跨系</v>
      </c>
      <c r="I58" t="str">
        <v>外語與商務學分學程</v>
      </c>
    </row>
    <row r="59">
      <c r="A59" t="b">
        <v>0</v>
      </c>
      <c r="B59" t="str">
        <v>FB-26</v>
      </c>
      <c r="C59" t="str">
        <v>市場開發策略</v>
      </c>
      <c r="D59" t="str">
        <v>應用外語系</v>
      </c>
      <c r="E59" t="str">
        <v>選修</v>
      </c>
      <c r="F59">
        <v>2</v>
      </c>
      <c r="G59" t="str">
        <v>全學年</v>
      </c>
      <c r="H59" t="str">
        <v>外系/跨系</v>
      </c>
      <c r="I59" t="str">
        <v>外語與商務學分學程</v>
      </c>
    </row>
    <row r="60">
      <c r="A60" t="b">
        <v>0</v>
      </c>
      <c r="B60" t="str">
        <v>FB-27</v>
      </c>
      <c r="C60" t="str">
        <v>AI 行銷應用</v>
      </c>
      <c r="D60" t="str">
        <v>應用外語系</v>
      </c>
      <c r="E60" t="str">
        <v>選修</v>
      </c>
      <c r="F60">
        <v>2</v>
      </c>
      <c r="G60" t="str">
        <v>全學年</v>
      </c>
      <c r="H60" t="str">
        <v>外系/跨系</v>
      </c>
      <c r="I60" t="str">
        <v>外語與商務學分學程</v>
      </c>
    </row>
    <row r="61">
      <c r="A61" t="b">
        <v>0</v>
      </c>
      <c r="B61" t="str">
        <v>BD-1</v>
      </c>
      <c r="C61" t="str">
        <v>程式設計</v>
      </c>
      <c r="D61" t="str">
        <v>會計資訊系</v>
      </c>
      <c r="E61" t="str">
        <v>選修</v>
      </c>
      <c r="F61">
        <v>3</v>
      </c>
      <c r="G61" t="str">
        <v>全學年</v>
      </c>
      <c r="H61" t="str">
        <v>外系/跨系</v>
      </c>
      <c r="I61" t="str">
        <v>大數據微學程</v>
      </c>
    </row>
    <row r="62">
      <c r="A62" t="b">
        <v>0</v>
      </c>
      <c r="B62" t="str">
        <v>BD-2</v>
      </c>
      <c r="C62" t="str">
        <v>程式設計</v>
      </c>
      <c r="D62" t="str">
        <v>財政稅務系</v>
      </c>
      <c r="E62" t="str">
        <v>選修</v>
      </c>
      <c r="F62">
        <v>3</v>
      </c>
      <c r="G62" t="str">
        <v>全學年</v>
      </c>
      <c r="H62" t="str">
        <v>外系/跨系</v>
      </c>
      <c r="I62" t="str">
        <v>大數據微學程</v>
      </c>
    </row>
    <row r="63">
      <c r="A63" t="b">
        <v>0</v>
      </c>
      <c r="B63" t="str">
        <v>BD-3</v>
      </c>
      <c r="C63" t="str">
        <v>程式設計</v>
      </c>
      <c r="D63" t="str">
        <v>財務金融系</v>
      </c>
      <c r="E63" t="str">
        <v>選修</v>
      </c>
      <c r="F63">
        <v>3</v>
      </c>
      <c r="G63" t="str">
        <v>全學年</v>
      </c>
      <c r="H63" t="str">
        <v>外系/跨系</v>
      </c>
      <c r="I63" t="str">
        <v>大數據微學程</v>
      </c>
    </row>
    <row r="64">
      <c r="A64" t="b">
        <v>0</v>
      </c>
      <c r="B64" t="str">
        <v>BD-4</v>
      </c>
      <c r="C64" t="str">
        <v>程式設計</v>
      </c>
      <c r="D64" t="str">
        <v>資訊管理系</v>
      </c>
      <c r="E64" t="str">
        <v>選修</v>
      </c>
      <c r="F64">
        <v>3</v>
      </c>
      <c r="G64" t="str">
        <v>全學年</v>
      </c>
      <c r="H64" t="str">
        <v>本系 (資管)</v>
      </c>
      <c r="I64" t="str">
        <v>大數據微學程</v>
      </c>
    </row>
    <row r="65">
      <c r="A65" t="b">
        <v>0</v>
      </c>
      <c r="B65" t="str">
        <v>BD-5</v>
      </c>
      <c r="C65" t="str">
        <v>機器學習概論與應用</v>
      </c>
      <c r="D65" t="str">
        <v>財務金融系</v>
      </c>
      <c r="E65" t="str">
        <v>選修</v>
      </c>
      <c r="F65">
        <v>3</v>
      </c>
      <c r="G65" t="str">
        <v>全學年</v>
      </c>
      <c r="H65" t="str">
        <v>外系/跨系</v>
      </c>
      <c r="I65" t="str">
        <v>大數據微學程</v>
      </c>
    </row>
    <row r="66">
      <c r="A66" t="b">
        <v>0</v>
      </c>
      <c r="B66" t="str">
        <v>BD-6</v>
      </c>
      <c r="C66" t="str">
        <v>多語言與財經程式應用</v>
      </c>
      <c r="D66" t="str">
        <v>財務金融系</v>
      </c>
      <c r="E66" t="str">
        <v>選修</v>
      </c>
      <c r="F66">
        <v>3</v>
      </c>
      <c r="G66" t="str">
        <v>全學年</v>
      </c>
      <c r="H66" t="str">
        <v>外系/跨系</v>
      </c>
      <c r="I66" t="str">
        <v>大數據微學程</v>
      </c>
    </row>
    <row r="67">
      <c r="A67" t="b">
        <v>0</v>
      </c>
      <c r="B67" t="str">
        <v>BD-7</v>
      </c>
      <c r="C67" t="str">
        <v>大數據金融</v>
      </c>
      <c r="D67" t="str">
        <v>財務金融系</v>
      </c>
      <c r="E67" t="str">
        <v>選修</v>
      </c>
      <c r="F67">
        <v>3</v>
      </c>
      <c r="G67" t="str">
        <v>全學年</v>
      </c>
      <c r="H67" t="str">
        <v>外系/跨系</v>
      </c>
      <c r="I67" t="str">
        <v>大數據微學程</v>
      </c>
    </row>
    <row r="68">
      <c r="A68" t="b">
        <v>0</v>
      </c>
      <c r="B68" t="str">
        <v>BD-8</v>
      </c>
      <c r="C68" t="str">
        <v>資料探勘</v>
      </c>
      <c r="D68" t="str">
        <v>會計資訊系</v>
      </c>
      <c r="E68" t="str">
        <v>選修</v>
      </c>
      <c r="F68">
        <v>3</v>
      </c>
      <c r="G68" t="str">
        <v>全學年</v>
      </c>
      <c r="H68" t="str">
        <v>外系/跨系</v>
      </c>
      <c r="I68" t="str">
        <v>大數據微學程</v>
      </c>
    </row>
    <row r="69">
      <c r="A69" t="b">
        <v>0</v>
      </c>
      <c r="B69" t="str">
        <v>BD-9</v>
      </c>
      <c r="C69" t="str">
        <v>視覺化資料分析</v>
      </c>
      <c r="D69" t="str">
        <v>會計資訊系</v>
      </c>
      <c r="E69" t="str">
        <v>選修</v>
      </c>
      <c r="F69">
        <v>3</v>
      </c>
      <c r="G69" t="str">
        <v>全學年</v>
      </c>
      <c r="H69" t="str">
        <v>外系/跨系</v>
      </c>
      <c r="I69" t="str">
        <v>大數據微學程</v>
      </c>
    </row>
    <row r="70">
      <c r="A70" t="b">
        <v>0</v>
      </c>
      <c r="B70" t="str">
        <v>BD-10</v>
      </c>
      <c r="C70" t="str">
        <v>機器學習與深度學習</v>
      </c>
      <c r="D70" t="str">
        <v>資訊管理系</v>
      </c>
      <c r="E70" t="str">
        <v>選修</v>
      </c>
      <c r="F70">
        <v>3</v>
      </c>
      <c r="G70" t="str">
        <v>全學年</v>
      </c>
      <c r="H70" t="str">
        <v>本系 (資管)</v>
      </c>
      <c r="I70" t="str">
        <v>大數據微學程</v>
      </c>
    </row>
    <row r="71">
      <c r="A71" t="b">
        <v>0</v>
      </c>
      <c r="B71" t="str">
        <v>BD-11</v>
      </c>
      <c r="C71" t="str">
        <v>資料探勘與大數據分析</v>
      </c>
      <c r="D71" t="str">
        <v>資訊管理系</v>
      </c>
      <c r="E71" t="str">
        <v>選修</v>
      </c>
      <c r="F71">
        <v>3</v>
      </c>
      <c r="G71" t="str">
        <v>全學年</v>
      </c>
      <c r="H71" t="str">
        <v>本系 (資管)</v>
      </c>
      <c r="I71" t="str">
        <v>大數據微學程</v>
      </c>
    </row>
    <row r="72">
      <c r="A72" t="b">
        <v>0</v>
      </c>
      <c r="B72" t="str">
        <v>BD-12</v>
      </c>
      <c r="C72" t="str">
        <v>商業智慧與資料科學(進修學制)</v>
      </c>
      <c r="D72" t="str">
        <v>資訊管理系</v>
      </c>
      <c r="E72" t="str">
        <v>選修</v>
      </c>
      <c r="F72">
        <v>3</v>
      </c>
      <c r="G72" t="str">
        <v>全學年</v>
      </c>
      <c r="H72" t="str">
        <v>本系 (資管)</v>
      </c>
      <c r="I72" t="str">
        <v>大數據微學程</v>
      </c>
    </row>
    <row r="73">
      <c r="A73" t="b">
        <v>0</v>
      </c>
      <c r="B73" t="str">
        <v>BD-13</v>
      </c>
      <c r="C73" t="str">
        <v>人工智慧商業運用 (AI in Business)</v>
      </c>
      <c r="D73" t="str">
        <v>財經學院</v>
      </c>
      <c r="E73" t="str">
        <v>選修</v>
      </c>
      <c r="F73">
        <v>1</v>
      </c>
      <c r="G73" t="str">
        <v>全學年</v>
      </c>
      <c r="H73" t="str">
        <v>外系/跨系</v>
      </c>
      <c r="I73" t="str">
        <v>大數據微學程</v>
      </c>
    </row>
    <row r="74">
      <c r="A74" t="b">
        <v>0</v>
      </c>
      <c r="B74" t="str">
        <v>BD-14</v>
      </c>
      <c r="C74" t="str">
        <v>永續發展商業運用 (SDGs in Business)</v>
      </c>
      <c r="D74" t="str">
        <v>財經學院</v>
      </c>
      <c r="E74" t="str">
        <v>選修</v>
      </c>
      <c r="F74">
        <v>1</v>
      </c>
      <c r="G74" t="str">
        <v>全學年</v>
      </c>
      <c r="H74" t="str">
        <v>外系/跨系</v>
      </c>
      <c r="I74" t="str">
        <v>大數據微學程</v>
      </c>
    </row>
    <row r="75">
      <c r="A75" t="b">
        <v>0</v>
      </c>
      <c r="B75" t="str">
        <v>DM-1</v>
      </c>
      <c r="C75" t="str">
        <v>數位行銷</v>
      </c>
      <c r="D75" t="str">
        <v>企業管理系</v>
      </c>
      <c r="E75" t="str">
        <v>選修</v>
      </c>
      <c r="F75">
        <v>2</v>
      </c>
      <c r="G75" t="str">
        <v>全學年</v>
      </c>
      <c r="H75" t="str">
        <v>外系/跨系</v>
      </c>
      <c r="I75" t="str">
        <v>數位行銷學分學程</v>
      </c>
    </row>
    <row r="76">
      <c r="A76" t="b">
        <v>0</v>
      </c>
      <c r="B76" t="str">
        <v>DM-2</v>
      </c>
      <c r="C76" t="str">
        <v>電子商務與網路行銷</v>
      </c>
      <c r="D76" t="str">
        <v>企業管理系 / 資訊管理系</v>
      </c>
      <c r="E76" t="str">
        <v>選修</v>
      </c>
      <c r="F76">
        <v>2</v>
      </c>
      <c r="G76" t="str">
        <v>全學年</v>
      </c>
      <c r="H76" t="str">
        <v>本系 (資管)</v>
      </c>
      <c r="I76" t="str">
        <v>數位行銷學分學程</v>
      </c>
    </row>
    <row r="77">
      <c r="A77" t="b">
        <v>0</v>
      </c>
      <c r="B77" t="str">
        <v>DM-3</v>
      </c>
      <c r="C77" t="str">
        <v>程式設計</v>
      </c>
      <c r="D77" t="str">
        <v>企業管理系</v>
      </c>
      <c r="E77" t="str">
        <v>選修</v>
      </c>
      <c r="F77">
        <v>2</v>
      </c>
      <c r="G77" t="str">
        <v>全學年</v>
      </c>
      <c r="H77" t="str">
        <v>外系/跨系</v>
      </c>
      <c r="I77" t="str">
        <v>數位行銷學分學程</v>
      </c>
    </row>
    <row r="78">
      <c r="A78" t="b">
        <v>0</v>
      </c>
      <c r="B78" t="str">
        <v>DM-4</v>
      </c>
      <c r="C78" t="str">
        <v>數位商務與管理</v>
      </c>
      <c r="D78" t="str">
        <v>企業管理系</v>
      </c>
      <c r="E78" t="str">
        <v>選修</v>
      </c>
      <c r="F78">
        <v>2</v>
      </c>
      <c r="G78" t="str">
        <v>全學年</v>
      </c>
      <c r="H78" t="str">
        <v>外系/跨系</v>
      </c>
      <c r="I78" t="str">
        <v>數位行銷學分學程</v>
      </c>
    </row>
    <row r="79">
      <c r="A79" t="b">
        <v>0</v>
      </c>
      <c r="B79" t="str">
        <v>DM-5</v>
      </c>
      <c r="C79" t="str">
        <v>資訊管理</v>
      </c>
      <c r="D79" t="str">
        <v>企業管理系</v>
      </c>
      <c r="E79" t="str">
        <v>選修</v>
      </c>
      <c r="F79">
        <v>2</v>
      </c>
      <c r="G79" t="str">
        <v>全學年</v>
      </c>
      <c r="H79" t="str">
        <v>外系/跨系</v>
      </c>
      <c r="I79" t="str">
        <v>數位行銷學分學程</v>
      </c>
    </row>
    <row r="80">
      <c r="A80" t="b">
        <v>0</v>
      </c>
      <c r="B80" t="str">
        <v>DM-6</v>
      </c>
      <c r="C80" t="str">
        <v>資料庫管理</v>
      </c>
      <c r="D80" t="str">
        <v>企業管理系</v>
      </c>
      <c r="E80" t="str">
        <v>選修</v>
      </c>
      <c r="F80">
        <v>2</v>
      </c>
      <c r="G80" t="str">
        <v>全學年</v>
      </c>
      <c r="H80" t="str">
        <v>外系/跨系</v>
      </c>
      <c r="I80" t="str">
        <v>數位行銷學分學程</v>
      </c>
    </row>
    <row r="81">
      <c r="A81" t="b">
        <v>0</v>
      </c>
      <c r="B81" t="str">
        <v>DM-7</v>
      </c>
      <c r="C81" t="str">
        <v>統計應用軟體</v>
      </c>
      <c r="D81" t="str">
        <v>企業管理系</v>
      </c>
      <c r="E81" t="str">
        <v>選修</v>
      </c>
      <c r="F81">
        <v>2</v>
      </c>
      <c r="G81" t="str">
        <v>全學年</v>
      </c>
      <c r="H81" t="str">
        <v>外系/跨系</v>
      </c>
      <c r="I81" t="str">
        <v>數位行銷學分學程</v>
      </c>
    </row>
    <row r="82">
      <c r="A82" t="b">
        <v>0</v>
      </c>
      <c r="B82" t="str">
        <v>DM-8</v>
      </c>
      <c r="C82" t="str">
        <v>資料科學分析與應用</v>
      </c>
      <c r="D82" t="str">
        <v>企業管理系</v>
      </c>
      <c r="E82" t="str">
        <v>選修</v>
      </c>
      <c r="F82">
        <v>2</v>
      </c>
      <c r="G82" t="str">
        <v>全學年</v>
      </c>
      <c r="H82" t="str">
        <v>外系/跨系</v>
      </c>
      <c r="I82" t="str">
        <v>數位行銷學分學程</v>
      </c>
    </row>
    <row r="83">
      <c r="A83" t="b">
        <v>0</v>
      </c>
      <c r="B83" t="str">
        <v>DM-9</v>
      </c>
      <c r="C83" t="str">
        <v>消費者行為</v>
      </c>
      <c r="D83" t="str">
        <v>企業管理系</v>
      </c>
      <c r="E83" t="str">
        <v>選修</v>
      </c>
      <c r="F83">
        <v>2</v>
      </c>
      <c r="G83" t="str">
        <v>全學年</v>
      </c>
      <c r="H83" t="str">
        <v>外系/跨系</v>
      </c>
      <c r="I83" t="str">
        <v>數位行銷學分學程</v>
      </c>
    </row>
    <row r="84">
      <c r="A84" t="b">
        <v>0</v>
      </c>
      <c r="B84" t="str">
        <v>DM-10</v>
      </c>
      <c r="C84" t="str">
        <v>行銷研究</v>
      </c>
      <c r="D84" t="str">
        <v>企業管理系</v>
      </c>
      <c r="E84" t="str">
        <v>選修</v>
      </c>
      <c r="F84">
        <v>2</v>
      </c>
      <c r="G84" t="str">
        <v>全學年</v>
      </c>
      <c r="H84" t="str">
        <v>外系/跨系</v>
      </c>
      <c r="I84" t="str">
        <v>數位行銷學分學程</v>
      </c>
    </row>
    <row r="85">
      <c r="A85" t="b">
        <v>0</v>
      </c>
      <c r="B85" t="str">
        <v>DM-11</v>
      </c>
      <c r="C85" t="str">
        <v>多媒體網頁設計</v>
      </c>
      <c r="D85" t="str">
        <v>企業管理系</v>
      </c>
      <c r="E85" t="str">
        <v>選修</v>
      </c>
      <c r="F85">
        <v>2</v>
      </c>
      <c r="G85" t="str">
        <v>全學年</v>
      </c>
      <c r="H85" t="str">
        <v>外系/跨系</v>
      </c>
      <c r="I85" t="str">
        <v>數位行銷學分學程</v>
      </c>
    </row>
    <row r="86">
      <c r="A86" t="b">
        <v>0</v>
      </c>
      <c r="B86" t="str">
        <v>DM-12</v>
      </c>
      <c r="C86" t="str">
        <v>行動商務應用</v>
      </c>
      <c r="D86" t="str">
        <v>資訊管理系</v>
      </c>
      <c r="E86" t="str">
        <v>選修</v>
      </c>
      <c r="F86">
        <v>3</v>
      </c>
      <c r="G86" t="str">
        <v>全學年</v>
      </c>
      <c r="H86" t="str">
        <v>本系 (資管)</v>
      </c>
      <c r="I86" t="str">
        <v>數位行銷學分學程</v>
      </c>
    </row>
    <row r="87">
      <c r="A87" t="b">
        <v>0</v>
      </c>
      <c r="B87" t="str">
        <v>DM-13</v>
      </c>
      <c r="C87" t="str">
        <v>網路商城經營管理實務</v>
      </c>
      <c r="D87" t="str">
        <v>資訊管理系</v>
      </c>
      <c r="E87" t="str">
        <v>選修</v>
      </c>
      <c r="F87">
        <v>3</v>
      </c>
      <c r="G87" t="str">
        <v>全學年</v>
      </c>
      <c r="H87" t="str">
        <v>本系 (資管)</v>
      </c>
      <c r="I87" t="str">
        <v>數位行銷學分學程</v>
      </c>
    </row>
    <row r="88">
      <c r="A88" t="b">
        <v>0</v>
      </c>
      <c r="B88" t="str">
        <v>DM-14</v>
      </c>
      <c r="C88" t="str">
        <v>多媒體應用</v>
      </c>
      <c r="D88" t="str">
        <v>資訊管理系</v>
      </c>
      <c r="E88" t="str">
        <v>選修</v>
      </c>
      <c r="F88">
        <v>3</v>
      </c>
      <c r="G88" t="str">
        <v>全學年</v>
      </c>
      <c r="H88" t="str">
        <v>本系 (資管)</v>
      </c>
      <c r="I88" t="str">
        <v>數位行銷學分學程</v>
      </c>
    </row>
    <row r="89">
      <c r="A89" t="b">
        <v>0</v>
      </c>
      <c r="B89" t="str">
        <v>DM-15</v>
      </c>
      <c r="C89" t="str">
        <v>網頁程式設計</v>
      </c>
      <c r="D89" t="str">
        <v>國際商務系</v>
      </c>
      <c r="E89" t="str">
        <v>選修</v>
      </c>
      <c r="F89">
        <v>3</v>
      </c>
      <c r="G89" t="str">
        <v>全學年</v>
      </c>
      <c r="H89" t="str">
        <v>外系/跨系</v>
      </c>
      <c r="I89" t="str">
        <v>數位行銷學分學程</v>
      </c>
    </row>
    <row r="90">
      <c r="A90" t="b">
        <v>0</v>
      </c>
      <c r="B90" t="str">
        <v>DM-16</v>
      </c>
      <c r="C90" t="str">
        <v>網頁與多媒體製作</v>
      </c>
      <c r="D90" t="str">
        <v>應用外語系</v>
      </c>
      <c r="E90" t="str">
        <v>選修</v>
      </c>
      <c r="F90">
        <v>2</v>
      </c>
      <c r="G90" t="str">
        <v>全學年</v>
      </c>
      <c r="H90" t="str">
        <v>外系/跨系</v>
      </c>
      <c r="I90" t="str">
        <v>數位行銷學分學程</v>
      </c>
    </row>
    <row r="91">
      <c r="A91" t="b">
        <v>0</v>
      </c>
      <c r="B91" t="str">
        <v>DM-17</v>
      </c>
      <c r="C91" t="str">
        <v>網路行銷</v>
      </c>
      <c r="D91" t="str">
        <v>應用外語系 / 國際商務系</v>
      </c>
      <c r="E91" t="str">
        <v>選修</v>
      </c>
      <c r="F91">
        <v>2</v>
      </c>
      <c r="G91" t="str">
        <v>全學年</v>
      </c>
      <c r="H91" t="str">
        <v>外系/跨系</v>
      </c>
      <c r="I91" t="str">
        <v>數位行銷學分學程</v>
      </c>
    </row>
    <row r="92">
      <c r="A92" t="b">
        <v>0</v>
      </c>
      <c r="B92" t="str">
        <v>DM-18</v>
      </c>
      <c r="C92" t="str">
        <v>電子商務</v>
      </c>
      <c r="D92" t="str">
        <v>會計資訊系 / 國際商務系</v>
      </c>
      <c r="E92" t="str">
        <v>選修</v>
      </c>
      <c r="F92">
        <v>2</v>
      </c>
      <c r="G92" t="str">
        <v>全學年</v>
      </c>
      <c r="H92" t="str">
        <v>外系/跨系</v>
      </c>
      <c r="I92" t="str">
        <v>數位行銷學分學程</v>
      </c>
    </row>
    <row r="93">
      <c r="A93" t="b">
        <v>0</v>
      </c>
      <c r="B93" t="str">
        <v>DL-1</v>
      </c>
      <c r="C93" t="str">
        <v>數位行銷</v>
      </c>
      <c r="D93" t="str">
        <v>國際商務系</v>
      </c>
      <c r="E93" t="str">
        <v>選修</v>
      </c>
      <c r="F93">
        <v>2</v>
      </c>
      <c r="G93" t="str">
        <v>全學年</v>
      </c>
      <c r="H93" t="str">
        <v>外系/跨系</v>
      </c>
      <c r="I93" t="str">
        <v>數位行銷與語言科技應用微學程</v>
      </c>
    </row>
    <row r="94">
      <c r="A94" t="b">
        <v>0</v>
      </c>
      <c r="B94" t="str">
        <v>DL-2</v>
      </c>
      <c r="C94" t="str">
        <v>網路行銷</v>
      </c>
      <c r="D94" t="str">
        <v>應用外語系</v>
      </c>
      <c r="E94" t="str">
        <v>選修</v>
      </c>
      <c r="F94">
        <v>2</v>
      </c>
      <c r="G94" t="str">
        <v>全學年</v>
      </c>
      <c r="H94" t="str">
        <v>外系/跨系</v>
      </c>
      <c r="I94" t="str">
        <v>數位行銷與語言科技應用微學程</v>
      </c>
    </row>
    <row r="95">
      <c r="A95" t="b">
        <v>0</v>
      </c>
      <c r="B95" t="str">
        <v>DL-3</v>
      </c>
      <c r="C95" t="str">
        <v>基礎程式設計</v>
      </c>
      <c r="D95" t="str">
        <v>應用外語系</v>
      </c>
      <c r="E95" t="str">
        <v>選修</v>
      </c>
      <c r="F95">
        <v>2</v>
      </c>
      <c r="G95" t="str">
        <v>全學年</v>
      </c>
      <c r="H95" t="str">
        <v>外系/跨系</v>
      </c>
      <c r="I95" t="str">
        <v>數位行銷與語言科技應用微學程</v>
      </c>
    </row>
    <row r="96">
      <c r="A96" t="b">
        <v>0</v>
      </c>
      <c r="B96" t="str">
        <v>DL-4</v>
      </c>
      <c r="C96" t="str">
        <v>程式設計</v>
      </c>
      <c r="D96" t="str">
        <v>國際商務系</v>
      </c>
      <c r="E96" t="str">
        <v>選修</v>
      </c>
      <c r="F96">
        <v>3</v>
      </c>
      <c r="G96" t="str">
        <v>全學年</v>
      </c>
      <c r="H96" t="str">
        <v>外系/跨系</v>
      </c>
      <c r="I96" t="str">
        <v>數位行銷與語言科技應用微學程</v>
      </c>
    </row>
    <row r="97">
      <c r="A97" t="b">
        <v>0</v>
      </c>
      <c r="B97" t="str">
        <v>DL-5</v>
      </c>
      <c r="C97" t="str">
        <v>數位教材與教法</v>
      </c>
      <c r="D97" t="str">
        <v>應用外語系</v>
      </c>
      <c r="E97" t="str">
        <v>選修</v>
      </c>
      <c r="F97">
        <v>2</v>
      </c>
      <c r="G97" t="str">
        <v>全學年</v>
      </c>
      <c r="H97" t="str">
        <v>外系/跨系</v>
      </c>
      <c r="I97" t="str">
        <v>數位行銷與語言科技應用微學程</v>
      </c>
    </row>
    <row r="98">
      <c r="A98" t="b">
        <v>0</v>
      </c>
      <c r="B98" t="str">
        <v>DL-6</v>
      </c>
      <c r="C98" t="str">
        <v>AI與法律翻譯 / AI輔助法律翻譯入門</v>
      </c>
      <c r="D98" t="str">
        <v>應用外語系</v>
      </c>
      <c r="E98" t="str">
        <v>選修</v>
      </c>
      <c r="F98">
        <v>2</v>
      </c>
      <c r="G98" t="str">
        <v>全學年</v>
      </c>
      <c r="H98" t="str">
        <v>外系/跨系</v>
      </c>
      <c r="I98" t="str">
        <v>數位行銷與語言科技應用微學程</v>
      </c>
    </row>
    <row r="99">
      <c r="A99" t="b">
        <v>0</v>
      </c>
      <c r="B99" t="str">
        <v>DL-7</v>
      </c>
      <c r="C99" t="str">
        <v>AI 輔助文化與社會探究</v>
      </c>
      <c r="D99" t="str">
        <v>應用外語系</v>
      </c>
      <c r="E99" t="str">
        <v>選修</v>
      </c>
      <c r="F99">
        <v>2</v>
      </c>
      <c r="G99" t="str">
        <v>全學年</v>
      </c>
      <c r="H99" t="str">
        <v>外系/跨系</v>
      </c>
      <c r="I99" t="str">
        <v>數位行銷與語言科技應用微學程</v>
      </c>
    </row>
    <row r="100">
      <c r="A100" t="b">
        <v>0</v>
      </c>
      <c r="B100" t="str">
        <v>DL-8</v>
      </c>
      <c r="C100" t="str">
        <v>電腦多媒體設計</v>
      </c>
      <c r="D100" t="str">
        <v>國際商務系</v>
      </c>
      <c r="E100" t="str">
        <v>選修</v>
      </c>
      <c r="F100">
        <v>2</v>
      </c>
      <c r="G100" t="str">
        <v>全學年</v>
      </c>
      <c r="H100" t="str">
        <v>外系/跨系</v>
      </c>
      <c r="I100" t="str">
        <v>數位行銷與語言科技應用微學程</v>
      </c>
    </row>
    <row r="101">
      <c r="A101" t="b">
        <v>0</v>
      </c>
      <c r="B101" t="str">
        <v>DL-9</v>
      </c>
      <c r="C101" t="str">
        <v>網頁與多媒體製作</v>
      </c>
      <c r="D101" t="str">
        <v>應用外語系</v>
      </c>
      <c r="E101" t="str">
        <v>選修</v>
      </c>
      <c r="F101">
        <v>2</v>
      </c>
      <c r="G101" t="str">
        <v>全學年</v>
      </c>
      <c r="H101" t="str">
        <v>外系/跨系</v>
      </c>
      <c r="I101" t="str">
        <v>數位行銷與語言科技應用微學程</v>
      </c>
    </row>
    <row r="102">
      <c r="A102" t="b">
        <v>0</v>
      </c>
      <c r="B102" t="str">
        <v>DL-10</v>
      </c>
      <c r="C102" t="str">
        <v>多媒體製作與中英文簡報技巧</v>
      </c>
      <c r="D102" t="str">
        <v>國際商務系</v>
      </c>
      <c r="E102" t="str">
        <v>選修</v>
      </c>
      <c r="F102">
        <v>2</v>
      </c>
      <c r="G102" t="str">
        <v>全學年</v>
      </c>
      <c r="H102" t="str">
        <v>外系/跨系</v>
      </c>
      <c r="I102" t="str">
        <v>數位行銷與語言科技應用微學程</v>
      </c>
    </row>
    <row r="103">
      <c r="A103" t="b">
        <v>0</v>
      </c>
      <c r="B103" t="str">
        <v>DL-11</v>
      </c>
      <c r="C103" t="str">
        <v>貿易資訊與通關自動化</v>
      </c>
      <c r="D103" t="str">
        <v>國際商務系</v>
      </c>
      <c r="E103" t="str">
        <v>選修</v>
      </c>
      <c r="F103">
        <v>2</v>
      </c>
      <c r="G103" t="str">
        <v>全學年</v>
      </c>
      <c r="H103" t="str">
        <v>外系/跨系</v>
      </c>
      <c r="I103" t="str">
        <v>數位行銷與語言科技應用微學程</v>
      </c>
    </row>
    <row r="104">
      <c r="A104" t="b">
        <v>0</v>
      </c>
      <c r="B104" t="str">
        <v>DL-12</v>
      </c>
      <c r="C104" t="str">
        <v>跨境電子商務</v>
      </c>
      <c r="D104" t="str">
        <v>國際商務系</v>
      </c>
      <c r="E104" t="str">
        <v>選修</v>
      </c>
      <c r="F104">
        <v>2</v>
      </c>
      <c r="G104" t="str">
        <v>全學年</v>
      </c>
      <c r="H104" t="str">
        <v>外系/跨系</v>
      </c>
      <c r="I104" t="str">
        <v>數位行銷與語言科技應用微學程</v>
      </c>
    </row>
    <row r="105">
      <c r="A105" t="b">
        <v>0</v>
      </c>
      <c r="B105" t="str">
        <v>DL-13</v>
      </c>
      <c r="C105" t="str">
        <v>人工智慧(上)/(下)</v>
      </c>
      <c r="D105" t="str">
        <v>國際商務系</v>
      </c>
      <c r="E105" t="str">
        <v>選修</v>
      </c>
      <c r="F105">
        <v>2</v>
      </c>
      <c r="G105" t="str">
        <v>全學年</v>
      </c>
      <c r="H105" t="str">
        <v>外系/跨系</v>
      </c>
      <c r="I105" t="str">
        <v>數位行銷與語言科技應用微學程</v>
      </c>
    </row>
    <row r="106">
      <c r="A106" t="b">
        <v>0</v>
      </c>
      <c r="B106" t="str">
        <v>DA-1</v>
      </c>
      <c r="C106" t="str">
        <v>資料處理 / 數位化資料處理</v>
      </c>
      <c r="D106" t="str">
        <v>本校各系</v>
      </c>
      <c r="E106" t="str">
        <v>選修</v>
      </c>
      <c r="F106">
        <v>3</v>
      </c>
      <c r="G106" t="str">
        <v>全學年</v>
      </c>
      <c r="H106" t="str">
        <v>外系/跨系</v>
      </c>
      <c r="I106" t="str">
        <v>數據分析與視覺化微學程</v>
      </c>
    </row>
    <row r="107">
      <c r="A107" t="b">
        <v>0</v>
      </c>
      <c r="B107" t="str">
        <v>DA-2</v>
      </c>
      <c r="C107" t="str">
        <v>商業套裝軟體 / 商業軟體應用</v>
      </c>
      <c r="D107" t="str">
        <v>本校各系</v>
      </c>
      <c r="E107" t="str">
        <v>選修</v>
      </c>
      <c r="F107">
        <v>3</v>
      </c>
      <c r="G107" t="str">
        <v>全學年</v>
      </c>
      <c r="H107" t="str">
        <v>外系/跨系</v>
      </c>
      <c r="I107" t="str">
        <v>數據分析與視覺化微學程</v>
      </c>
    </row>
    <row r="108">
      <c r="A108" t="b">
        <v>0</v>
      </c>
      <c r="B108" t="str">
        <v>DA-3</v>
      </c>
      <c r="C108" t="str">
        <v>Python 程式設計（內容需為 Python 或 R 語言或 excel 應用或統計軟體）</v>
      </c>
      <c r="D108" t="str">
        <v>本校各系</v>
      </c>
      <c r="E108" t="str">
        <v>選修</v>
      </c>
      <c r="F108">
        <v>3</v>
      </c>
      <c r="G108" t="str">
        <v>全學年</v>
      </c>
      <c r="H108" t="str">
        <v>外系/跨系</v>
      </c>
      <c r="I108" t="str">
        <v>數據分析與視覺化微學程</v>
      </c>
    </row>
    <row r="109">
      <c r="A109" t="b">
        <v>0</v>
      </c>
      <c r="B109" t="str">
        <v>DA-4</v>
      </c>
      <c r="C109" t="str">
        <v>資料庫基礎應用</v>
      </c>
      <c r="D109" t="str">
        <v>本校各系</v>
      </c>
      <c r="E109" t="str">
        <v>選修</v>
      </c>
      <c r="F109">
        <v>2</v>
      </c>
      <c r="G109" t="str">
        <v>全學年</v>
      </c>
      <c r="H109" t="str">
        <v>外系/跨系</v>
      </c>
      <c r="I109" t="str">
        <v>數據分析與視覺化微學程</v>
      </c>
    </row>
    <row r="110">
      <c r="A110" t="b">
        <v>0</v>
      </c>
      <c r="B110" t="str">
        <v>DA-5</v>
      </c>
      <c r="C110" t="str">
        <v>資料庫管理</v>
      </c>
      <c r="D110" t="str">
        <v>本校各系</v>
      </c>
      <c r="E110" t="str">
        <v>選修</v>
      </c>
      <c r="F110">
        <v>2</v>
      </c>
      <c r="G110" t="str">
        <v>全學年</v>
      </c>
      <c r="H110" t="str">
        <v>外系/跨系</v>
      </c>
      <c r="I110" t="str">
        <v>數據分析與視覺化微學程</v>
      </c>
    </row>
    <row r="111">
      <c r="A111" t="b">
        <v>0</v>
      </c>
      <c r="B111" t="str">
        <v>DA-6</v>
      </c>
      <c r="C111" t="str">
        <v>資料庫管理系統實作</v>
      </c>
      <c r="D111" t="str">
        <v>本校各系</v>
      </c>
      <c r="E111" t="str">
        <v>選修</v>
      </c>
      <c r="F111">
        <v>2</v>
      </c>
      <c r="G111" t="str">
        <v>全學年</v>
      </c>
      <c r="H111" t="str">
        <v>外系/跨系</v>
      </c>
      <c r="I111" t="str">
        <v>數據分析與視覺化微學程</v>
      </c>
    </row>
    <row r="112">
      <c r="A112" t="b">
        <v>0</v>
      </c>
      <c r="B112" t="str">
        <v>DA-7</v>
      </c>
      <c r="C112" t="str">
        <v>資料庫管理系統</v>
      </c>
      <c r="D112" t="str">
        <v>本校各系</v>
      </c>
      <c r="E112" t="str">
        <v>選修</v>
      </c>
      <c r="F112">
        <v>2</v>
      </c>
      <c r="G112" t="str">
        <v>全學年</v>
      </c>
      <c r="H112" t="str">
        <v>外系/跨系</v>
      </c>
      <c r="I112" t="str">
        <v>數據分析與視覺化微學程</v>
      </c>
    </row>
    <row r="113">
      <c r="A113" t="b">
        <v>0</v>
      </c>
      <c r="B113" t="str">
        <v>DA-8</v>
      </c>
      <c r="C113" t="str">
        <v>資料庫概論</v>
      </c>
      <c r="D113" t="str">
        <v>本校各系</v>
      </c>
      <c r="E113" t="str">
        <v>選修</v>
      </c>
      <c r="F113">
        <v>2</v>
      </c>
      <c r="G113" t="str">
        <v>全學年</v>
      </c>
      <c r="H113" t="str">
        <v>外系/跨系</v>
      </c>
      <c r="I113" t="str">
        <v>數據分析與視覺化微學程</v>
      </c>
    </row>
    <row r="114">
      <c r="A114" t="b">
        <v>0</v>
      </c>
      <c r="B114" t="str">
        <v>DA-9</v>
      </c>
      <c r="C114" t="str">
        <v>高等資料庫</v>
      </c>
      <c r="D114" t="str">
        <v>本校各系</v>
      </c>
      <c r="E114" t="str">
        <v>選修</v>
      </c>
      <c r="F114">
        <v>2</v>
      </c>
      <c r="G114" t="str">
        <v>全學年</v>
      </c>
      <c r="H114" t="str">
        <v>外系/跨系</v>
      </c>
      <c r="I114" t="str">
        <v>數據分析與視覺化微學程</v>
      </c>
    </row>
    <row r="115">
      <c r="A115" t="b">
        <v>0</v>
      </c>
      <c r="B115" t="str">
        <v>DA-10</v>
      </c>
      <c r="C115" t="str">
        <v>社群大數據分析</v>
      </c>
      <c r="D115" t="str">
        <v>本校各系</v>
      </c>
      <c r="E115" t="str">
        <v>選修</v>
      </c>
      <c r="F115">
        <v>3</v>
      </c>
      <c r="G115" t="str">
        <v>全學年</v>
      </c>
      <c r="H115" t="str">
        <v>外系/跨系</v>
      </c>
      <c r="I115" t="str">
        <v>數據分析與視覺化微學程</v>
      </c>
    </row>
    <row r="116">
      <c r="A116" t="b">
        <v>0</v>
      </c>
      <c r="B116" t="str">
        <v>DA-11</v>
      </c>
      <c r="C116" t="str">
        <v>商業數據分析</v>
      </c>
      <c r="D116" t="str">
        <v>資訊管理系 / 會計資訊系 / 財務金融系 / 資訊與決策科學研究所</v>
      </c>
      <c r="E116" t="str">
        <v>選修</v>
      </c>
      <c r="F116">
        <v>3</v>
      </c>
      <c r="G116" t="str">
        <v>全學年</v>
      </c>
      <c r="H116" t="str">
        <v>本系 (資管)</v>
      </c>
      <c r="I116" t="str">
        <v>數據分析與視覺化微學程</v>
      </c>
    </row>
    <row r="117">
      <c r="A117" t="b">
        <v>0</v>
      </c>
      <c r="B117" t="str">
        <v>DA-12</v>
      </c>
      <c r="C117" t="str">
        <v>資料探勘與大數據分析</v>
      </c>
      <c r="D117" t="str">
        <v>資訊管理系 / 會計資訊系 / 財務金融系 / 資訊與決策科學研究所</v>
      </c>
      <c r="E117" t="str">
        <v>選修</v>
      </c>
      <c r="F117">
        <v>3</v>
      </c>
      <c r="G117" t="str">
        <v>全學年</v>
      </c>
      <c r="H117" t="str">
        <v>本系 (資管)</v>
      </c>
      <c r="I117" t="str">
        <v>數據分析與視覺化微學程</v>
      </c>
    </row>
    <row r="118">
      <c r="A118" t="b">
        <v>0</v>
      </c>
      <c r="B118" t="str">
        <v>DA-13</v>
      </c>
      <c r="C118" t="str">
        <v>資料探勘</v>
      </c>
      <c r="D118" t="str">
        <v>資訊管理系 / 會計資訊系 / 創意科技與產品設計系</v>
      </c>
      <c r="E118" t="str">
        <v>選修</v>
      </c>
      <c r="F118">
        <v>3</v>
      </c>
      <c r="G118" t="str">
        <v>全學年</v>
      </c>
      <c r="H118" t="str">
        <v>本系 (資管)</v>
      </c>
      <c r="I118" t="str">
        <v>數據分析與視覺化微學程</v>
      </c>
    </row>
    <row r="119">
      <c r="A119" t="b">
        <v>0</v>
      </c>
      <c r="B119" t="str">
        <v>DA-14</v>
      </c>
      <c r="C119" t="str">
        <v>大數據分析與應用</v>
      </c>
      <c r="D119" t="str">
        <v>資訊管理系 / 會計資訊系 / 創意科技與產品設計系</v>
      </c>
      <c r="E119" t="str">
        <v>選修</v>
      </c>
      <c r="F119">
        <v>3</v>
      </c>
      <c r="G119" t="str">
        <v>全學年</v>
      </c>
      <c r="H119" t="str">
        <v>本系 (資管)</v>
      </c>
      <c r="I119" t="str">
        <v>數據分析與視覺化微學程</v>
      </c>
    </row>
    <row r="120">
      <c r="A120" t="b">
        <v>0</v>
      </c>
      <c r="B120" t="str">
        <v>DA-15</v>
      </c>
      <c r="C120" t="str">
        <v>資產管理大數據應用</v>
      </c>
      <c r="D120" t="str">
        <v>資訊管理系 / 會計資訊系 / 創意科技與產品設計系</v>
      </c>
      <c r="E120" t="str">
        <v>選修</v>
      </c>
      <c r="F120">
        <v>3</v>
      </c>
      <c r="G120" t="str">
        <v>全學年</v>
      </c>
      <c r="H120" t="str">
        <v>本系 (資管)</v>
      </c>
      <c r="I120" t="str">
        <v>數據分析與視覺化微學程</v>
      </c>
    </row>
    <row r="121">
      <c r="A121" t="b">
        <v>0</v>
      </c>
      <c r="B121" t="str">
        <v>DA-16</v>
      </c>
      <c r="C121" t="str">
        <v>資料可視化</v>
      </c>
      <c r="D121" t="str">
        <v>資訊管理系 / 會計資訊系 / 創意科技與產品設計系</v>
      </c>
      <c r="E121" t="str">
        <v>選修</v>
      </c>
      <c r="F121">
        <v>3</v>
      </c>
      <c r="G121" t="str">
        <v>全學年</v>
      </c>
      <c r="H121" t="str">
        <v>本系 (資管)</v>
      </c>
      <c r="I121" t="str">
        <v>數據分析與視覺化微學程</v>
      </c>
    </row>
    <row r="122">
      <c r="A122" t="b">
        <v>0</v>
      </c>
      <c r="B122" t="str">
        <v>DA-17</v>
      </c>
      <c r="C122" t="str">
        <v>視覺化資料分析</v>
      </c>
      <c r="D122" t="str">
        <v>資訊管理系 / 會計資訊系</v>
      </c>
      <c r="E122" t="str">
        <v>選修</v>
      </c>
      <c r="F122">
        <v>3</v>
      </c>
      <c r="G122" t="str">
        <v>全學年</v>
      </c>
      <c r="H122" t="str">
        <v>本系 (資管)</v>
      </c>
      <c r="I122" t="str">
        <v>數據分析與視覺化微學程</v>
      </c>
    </row>
    <row r="123">
      <c r="A123" t="b">
        <v>0</v>
      </c>
      <c r="B123" t="str">
        <v>DA-18</v>
      </c>
      <c r="C123" t="str">
        <v>資訊視覺化方法</v>
      </c>
      <c r="D123" t="str">
        <v>資訊管理系 / 會計資訊系</v>
      </c>
      <c r="E123" t="str">
        <v>選修</v>
      </c>
      <c r="F123">
        <v>3</v>
      </c>
      <c r="G123" t="str">
        <v>全學年</v>
      </c>
      <c r="H123" t="str">
        <v>本系 (資管)</v>
      </c>
      <c r="I123" t="str">
        <v>數據分析與視覺化微學程</v>
      </c>
    </row>
    <row r="124">
      <c r="A124" t="b">
        <v>0</v>
      </c>
      <c r="B124" t="str">
        <v>DA-19</v>
      </c>
      <c r="C124" t="str">
        <v>資訊視覺化設計</v>
      </c>
      <c r="D124" t="str">
        <v>資訊管理系 / 會計資訊系</v>
      </c>
      <c r="E124" t="str">
        <v>選修</v>
      </c>
      <c r="F124">
        <v>3</v>
      </c>
      <c r="G124" t="str">
        <v>全學年</v>
      </c>
      <c r="H124" t="str">
        <v>本系 (資管)</v>
      </c>
      <c r="I124" t="str">
        <v>數據分析與視覺化微學程</v>
      </c>
    </row>
    <row r="125">
      <c r="A125" t="b">
        <v>0</v>
      </c>
      <c r="B125" t="str">
        <v>DA-20</v>
      </c>
      <c r="C125" t="str">
        <v>數據處理與視覺化應用</v>
      </c>
      <c r="D125" t="str">
        <v>資訊管理系 / 會計資訊系</v>
      </c>
      <c r="E125" t="str">
        <v>選修</v>
      </c>
      <c r="F125">
        <v>3</v>
      </c>
      <c r="G125" t="str">
        <v>全學年</v>
      </c>
      <c r="H125" t="str">
        <v>本系 (資管)</v>
      </c>
      <c r="I125" t="str">
        <v>數據分析與視覺化微學程</v>
      </c>
    </row>
    <row r="126">
      <c r="A126" t="b">
        <v>0</v>
      </c>
      <c r="B126" t="str">
        <v>DA-21</v>
      </c>
      <c r="C126" t="str">
        <v>數據處理與電腦視覺化</v>
      </c>
      <c r="D126" t="str">
        <v>資訊管理系 / 會計資訊系</v>
      </c>
      <c r="E126" t="str">
        <v>選修</v>
      </c>
      <c r="F126">
        <v>3</v>
      </c>
      <c r="G126" t="str">
        <v>全學年</v>
      </c>
      <c r="H126" t="str">
        <v>本系 (資管)</v>
      </c>
      <c r="I126" t="str">
        <v>數據分析與視覺化微學程</v>
      </c>
    </row>
    <row r="127">
      <c r="A127" t="b">
        <v>0</v>
      </c>
      <c r="B127" t="str">
        <v>SM-1</v>
      </c>
      <c r="C127" t="str">
        <v>設計思考</v>
      </c>
      <c r="D127" t="str">
        <v>創新設計與經營學院</v>
      </c>
      <c r="E127" t="str">
        <v>選修</v>
      </c>
      <c r="F127">
        <v>3</v>
      </c>
      <c r="G127" t="str">
        <v>全學年</v>
      </c>
      <c r="H127" t="str">
        <v>外系/跨系</v>
      </c>
      <c r="I127" t="str">
        <v>社群媒體行銷微學程</v>
      </c>
    </row>
    <row r="128">
      <c r="A128" t="b">
        <v>0</v>
      </c>
      <c r="B128" t="str">
        <v>SM-2</v>
      </c>
      <c r="C128" t="str">
        <v>行銷策略規劃</v>
      </c>
      <c r="D128" t="str">
        <v>商業設計管理系</v>
      </c>
      <c r="E128" t="str">
        <v>選修</v>
      </c>
      <c r="F128">
        <v>3</v>
      </c>
      <c r="G128" t="str">
        <v>全學年</v>
      </c>
      <c r="H128" t="str">
        <v>外系/跨系</v>
      </c>
      <c r="I128" t="str">
        <v>社群媒體行銷微學程</v>
      </c>
    </row>
    <row r="129">
      <c r="A129" t="b">
        <v>0</v>
      </c>
      <c r="B129" t="str">
        <v>SM-3</v>
      </c>
      <c r="C129" t="str">
        <v>數位增長</v>
      </c>
      <c r="D129" t="str">
        <v>商業設計管理系</v>
      </c>
      <c r="E129" t="str">
        <v>選修</v>
      </c>
      <c r="F129">
        <v>3</v>
      </c>
      <c r="G129" t="str">
        <v>全學年</v>
      </c>
      <c r="H129" t="str">
        <v>外系/跨系</v>
      </c>
      <c r="I129" t="str">
        <v>社群媒體行銷微學程</v>
      </c>
    </row>
    <row r="130">
      <c r="A130" t="b">
        <v>0</v>
      </c>
      <c r="B130" t="str">
        <v>SM-4</v>
      </c>
      <c r="C130" t="str">
        <v>品牌整合實務設計</v>
      </c>
      <c r="D130" t="str">
        <v>商業設計管理系</v>
      </c>
      <c r="E130" t="str">
        <v>選修</v>
      </c>
      <c r="F130">
        <v>3</v>
      </c>
      <c r="G130" t="str">
        <v>全學年</v>
      </c>
      <c r="H130" t="str">
        <v>外系/跨系</v>
      </c>
      <c r="I130" t="str">
        <v>社群媒體行銷微學程</v>
      </c>
    </row>
    <row r="131">
      <c r="A131" t="b">
        <v>0</v>
      </c>
      <c r="B131" t="str">
        <v>SM-5</v>
      </c>
      <c r="C131" t="str">
        <v>創新創業新思維</v>
      </c>
      <c r="D131" t="str">
        <v>商業設計管理系</v>
      </c>
      <c r="E131" t="str">
        <v>選修</v>
      </c>
      <c r="F131">
        <v>3</v>
      </c>
      <c r="G131" t="str">
        <v>全學年</v>
      </c>
      <c r="H131" t="str">
        <v>外系/跨系</v>
      </c>
      <c r="I131" t="str">
        <v>社群媒體行銷微學程</v>
      </c>
    </row>
    <row r="132">
      <c r="A132" t="b">
        <v>0</v>
      </c>
      <c r="B132" t="str">
        <v>SM-6</v>
      </c>
      <c r="C132" t="str">
        <v>影片後製作</v>
      </c>
      <c r="D132" t="str">
        <v>數位多媒體設計系</v>
      </c>
      <c r="E132" t="str">
        <v>選修</v>
      </c>
      <c r="F132">
        <v>3</v>
      </c>
      <c r="G132" t="str">
        <v>全學年</v>
      </c>
      <c r="H132" t="str">
        <v>外系/跨系</v>
      </c>
      <c r="I132" t="str">
        <v>社群媒體行銷微學程</v>
      </c>
    </row>
    <row r="133">
      <c r="A133" t="b">
        <v>0</v>
      </c>
      <c r="B133" t="str">
        <v>SM-7</v>
      </c>
      <c r="C133" t="str">
        <v>音樂音效剪輯</v>
      </c>
      <c r="D133" t="str">
        <v>數位多媒體設計系</v>
      </c>
      <c r="E133" t="str">
        <v>選修</v>
      </c>
      <c r="F133">
        <v>3</v>
      </c>
      <c r="G133" t="str">
        <v>全學年</v>
      </c>
      <c r="H133" t="str">
        <v>外系/跨系</v>
      </c>
      <c r="I133" t="str">
        <v>社群媒體行銷微學程</v>
      </c>
    </row>
    <row r="134">
      <c r="A134" t="b">
        <v>0</v>
      </c>
      <c r="B134" t="str">
        <v>SM-8</v>
      </c>
      <c r="C134" t="str">
        <v>虛擬網紅製作與商業應用</v>
      </c>
      <c r="D134" t="str">
        <v>數位多媒體設計系</v>
      </c>
      <c r="E134" t="str">
        <v>選修</v>
      </c>
      <c r="F134">
        <v>3</v>
      </c>
      <c r="G134" t="str">
        <v>全學年</v>
      </c>
      <c r="H134" t="str">
        <v>外系/跨系</v>
      </c>
      <c r="I134" t="str">
        <v>社群媒體行銷微學程</v>
      </c>
    </row>
    <row r="135">
      <c r="A135" t="b">
        <v>0</v>
      </c>
      <c r="B135" t="str">
        <v>SM-9</v>
      </c>
      <c r="C135" t="str">
        <v>3D 虛擬人與動作捕捉</v>
      </c>
      <c r="D135" t="str">
        <v>數位多媒體設計系</v>
      </c>
      <c r="E135" t="str">
        <v>選修</v>
      </c>
      <c r="F135">
        <v>3</v>
      </c>
      <c r="G135" t="str">
        <v>全學年</v>
      </c>
      <c r="H135" t="str">
        <v>外系/跨系</v>
      </c>
      <c r="I135" t="str">
        <v>社群媒體行銷微學程</v>
      </c>
    </row>
    <row r="136">
      <c r="A136" t="b">
        <v>0</v>
      </c>
      <c r="B136" t="str">
        <v>SM-10</v>
      </c>
      <c r="C136" t="str">
        <v>動態圖像設計</v>
      </c>
      <c r="D136" t="str">
        <v>數位多媒體設計系</v>
      </c>
      <c r="E136" t="str">
        <v>選修</v>
      </c>
      <c r="F136">
        <v>3</v>
      </c>
      <c r="G136" t="str">
        <v>全學年</v>
      </c>
      <c r="H136" t="str">
        <v>外系/跨系</v>
      </c>
      <c r="I136" t="str">
        <v>社群媒體行銷微學程</v>
      </c>
    </row>
    <row r="137">
      <c r="A137" t="b">
        <v>0</v>
      </c>
      <c r="B137" t="str">
        <v>SM-11</v>
      </c>
      <c r="C137" t="str">
        <v>品牌設計與行銷</v>
      </c>
      <c r="D137" t="str">
        <v>創意科技與產品設計系</v>
      </c>
      <c r="E137" t="str">
        <v>選修</v>
      </c>
      <c r="F137">
        <v>3</v>
      </c>
      <c r="G137" t="str">
        <v>全學年</v>
      </c>
      <c r="H137" t="str">
        <v>外系/跨系</v>
      </c>
      <c r="I137" t="str">
        <v>社群媒體行銷微學程</v>
      </c>
    </row>
    <row r="138">
      <c r="A138" t="b">
        <v>0</v>
      </c>
      <c r="B138" t="str">
        <v>SM-12</v>
      </c>
      <c r="C138" t="str">
        <v>創意科技程式應用</v>
      </c>
      <c r="D138" t="str">
        <v>創意科技與產品設計系</v>
      </c>
      <c r="E138" t="str">
        <v>選修</v>
      </c>
      <c r="F138">
        <v>3</v>
      </c>
      <c r="G138" t="str">
        <v>全學年</v>
      </c>
      <c r="H138" t="str">
        <v>外系/跨系</v>
      </c>
      <c r="I138" t="str">
        <v>社群媒體行銷微學程</v>
      </c>
    </row>
    <row r="139">
      <c r="A139" t="b">
        <v>0</v>
      </c>
      <c r="B139" t="str">
        <v>SM-13</v>
      </c>
      <c r="C139" t="str">
        <v>故事行銷與表達</v>
      </c>
      <c r="D139" t="str">
        <v>創意科技與產品設計系</v>
      </c>
      <c r="E139" t="str">
        <v>選修</v>
      </c>
      <c r="F139">
        <v>2</v>
      </c>
      <c r="G139" t="str">
        <v>全學年</v>
      </c>
      <c r="H139" t="str">
        <v>外系/跨系</v>
      </c>
      <c r="I139" t="str">
        <v>社群媒體行銷微學程</v>
      </c>
    </row>
    <row r="140">
      <c r="A140" t="b">
        <v>0</v>
      </c>
      <c r="B140" t="str">
        <v>SM-14</v>
      </c>
      <c r="C140" t="str">
        <v>互動數位敘事</v>
      </c>
      <c r="D140" t="str">
        <v>創意科技與產品設計系</v>
      </c>
      <c r="E140" t="str">
        <v>選修</v>
      </c>
      <c r="F140">
        <v>2</v>
      </c>
      <c r="G140" t="str">
        <v>全學年</v>
      </c>
      <c r="H140" t="str">
        <v>外系/跨系</v>
      </c>
      <c r="I140" t="str">
        <v>社群媒體行銷微學程</v>
      </c>
    </row>
    <row r="141">
      <c r="A141" t="b">
        <v>0</v>
      </c>
      <c r="B141" t="str">
        <v>EA-1</v>
      </c>
      <c r="C141" t="str">
        <v>日語(一)(二)(三)(四)</v>
      </c>
      <c r="D141" t="str">
        <v>國際商務系 / 應用外語系</v>
      </c>
      <c r="E141" t="str">
        <v>選修</v>
      </c>
      <c r="F141">
        <v>2</v>
      </c>
      <c r="G141" t="str">
        <v>全學年</v>
      </c>
      <c r="H141" t="str">
        <v>外系/跨系</v>
      </c>
      <c r="I141" t="str">
        <v>東亞語言與商務微學程</v>
      </c>
    </row>
    <row r="142">
      <c r="A142" t="b">
        <v>0</v>
      </c>
      <c r="B142" t="str">
        <v>EA-2</v>
      </c>
      <c r="C142" t="str">
        <v>日語字彙與會話</v>
      </c>
      <c r="D142" t="str">
        <v>應用外語系</v>
      </c>
      <c r="E142" t="str">
        <v>選修</v>
      </c>
      <c r="F142">
        <v>2</v>
      </c>
      <c r="G142" t="str">
        <v>全學年</v>
      </c>
      <c r="H142" t="str">
        <v>外系/跨系</v>
      </c>
      <c r="I142" t="str">
        <v>東亞語言與商務微學程</v>
      </c>
    </row>
    <row r="143">
      <c r="A143" t="b">
        <v>0</v>
      </c>
      <c r="B143" t="str">
        <v>EA-3</v>
      </c>
      <c r="C143" t="str">
        <v>日語閱讀與文法</v>
      </c>
      <c r="D143" t="str">
        <v>應用外語系</v>
      </c>
      <c r="E143" t="str">
        <v>選修</v>
      </c>
      <c r="F143">
        <v>2</v>
      </c>
      <c r="G143" t="str">
        <v>全學年</v>
      </c>
      <c r="H143" t="str">
        <v>外系/跨系</v>
      </c>
      <c r="I143" t="str">
        <v>東亞語言與商務微學程</v>
      </c>
    </row>
    <row r="144">
      <c r="A144" t="b">
        <v>0</v>
      </c>
      <c r="B144" t="str">
        <v>EA-4</v>
      </c>
      <c r="C144" t="str">
        <v>日語寫作與翻譯</v>
      </c>
      <c r="D144" t="str">
        <v>應用外語系</v>
      </c>
      <c r="E144" t="str">
        <v>選修</v>
      </c>
      <c r="F144">
        <v>2</v>
      </c>
      <c r="G144" t="str">
        <v>全學年</v>
      </c>
      <c r="H144" t="str">
        <v>外系/跨系</v>
      </c>
      <c r="I144" t="str">
        <v>東亞語言與商務微學程</v>
      </c>
    </row>
    <row r="145">
      <c r="A145" t="b">
        <v>0</v>
      </c>
      <c r="B145" t="str">
        <v>EA-5</v>
      </c>
      <c r="C145" t="str">
        <v>韓語(一)(二)(三)(四)</v>
      </c>
      <c r="D145" t="str">
        <v>國際商務系</v>
      </c>
      <c r="E145" t="str">
        <v>選修</v>
      </c>
      <c r="F145">
        <v>2</v>
      </c>
      <c r="G145" t="str">
        <v>全學年</v>
      </c>
      <c r="H145" t="str">
        <v>外系/跨系</v>
      </c>
      <c r="I145" t="str">
        <v>東亞語言與商務微學程</v>
      </c>
    </row>
    <row r="146">
      <c r="A146" t="b">
        <v>0</v>
      </c>
      <c r="B146" t="str">
        <v>EA-6</v>
      </c>
      <c r="C146" t="str">
        <v>實用韓語</v>
      </c>
      <c r="D146" t="str">
        <v>應用外語系</v>
      </c>
      <c r="E146" t="str">
        <v>選修</v>
      </c>
      <c r="F146">
        <v>2</v>
      </c>
      <c r="G146" t="str">
        <v>全學年</v>
      </c>
      <c r="H146" t="str">
        <v>外系/跨系</v>
      </c>
      <c r="I146" t="str">
        <v>東亞語言與商務微學程</v>
      </c>
    </row>
    <row r="147">
      <c r="A147" t="b">
        <v>0</v>
      </c>
      <c r="B147" t="str">
        <v>EA-7</v>
      </c>
      <c r="C147" t="str">
        <v>越南語(一)(二)</v>
      </c>
      <c r="D147" t="str">
        <v>國際商務系</v>
      </c>
      <c r="E147" t="str">
        <v>選修</v>
      </c>
      <c r="F147">
        <v>2</v>
      </c>
      <c r="G147" t="str">
        <v>全學年</v>
      </c>
      <c r="H147" t="str">
        <v>外系/跨系</v>
      </c>
      <c r="I147" t="str">
        <v>東亞語言與商務微學程</v>
      </c>
    </row>
    <row r="148">
      <c r="A148" t="b">
        <v>0</v>
      </c>
      <c r="B148" t="str">
        <v>EA-8</v>
      </c>
      <c r="C148" t="str">
        <v>泰國語(一)(二)</v>
      </c>
      <c r="D148" t="str">
        <v>國際商務系</v>
      </c>
      <c r="E148" t="str">
        <v>選修</v>
      </c>
      <c r="F148">
        <v>2</v>
      </c>
      <c r="G148" t="str">
        <v>全學年</v>
      </c>
      <c r="H148" t="str">
        <v>外系/跨系</v>
      </c>
      <c r="I148" t="str">
        <v>東亞語言與商務微學程</v>
      </c>
    </row>
    <row r="149">
      <c r="A149" t="b">
        <v>0</v>
      </c>
      <c r="B149" t="str">
        <v>EA-9</v>
      </c>
      <c r="C149" t="str">
        <v>現代商業導論與學習方法</v>
      </c>
      <c r="D149" t="str">
        <v>國際商務系 / 應用外語系</v>
      </c>
      <c r="E149" t="str">
        <v>選修</v>
      </c>
      <c r="F149">
        <v>2</v>
      </c>
      <c r="G149" t="str">
        <v>全學年</v>
      </c>
      <c r="H149" t="str">
        <v>外系/跨系</v>
      </c>
      <c r="I149" t="str">
        <v>東亞語言與商務微學程</v>
      </c>
    </row>
    <row r="150">
      <c r="A150" t="b">
        <v>0</v>
      </c>
      <c r="B150" t="str">
        <v>EA-10</v>
      </c>
      <c r="C150" t="str">
        <v>國際行銷</v>
      </c>
      <c r="D150" t="str">
        <v>國際商務系 / 應用外語系</v>
      </c>
      <c r="E150" t="str">
        <v>選修</v>
      </c>
      <c r="F150">
        <v>2</v>
      </c>
      <c r="G150" t="str">
        <v>全學年</v>
      </c>
      <c r="H150" t="str">
        <v>外系/跨系</v>
      </c>
      <c r="I150" t="str">
        <v>東亞語言與商務微學程</v>
      </c>
    </row>
    <row r="151">
      <c r="A151" t="b">
        <v>0</v>
      </c>
      <c r="B151" t="str">
        <v>EA-11</v>
      </c>
      <c r="C151" t="str">
        <v>全球運籌管理</v>
      </c>
      <c r="D151" t="str">
        <v>國際商務系</v>
      </c>
      <c r="E151" t="str">
        <v>選修</v>
      </c>
      <c r="F151">
        <v>2</v>
      </c>
      <c r="G151" t="str">
        <v>全學年</v>
      </c>
      <c r="H151" t="str">
        <v>外系/跨系</v>
      </c>
      <c r="I151" t="str">
        <v>東亞語言與商務微學程</v>
      </c>
    </row>
    <row r="152">
      <c r="A152" t="b">
        <v>0</v>
      </c>
      <c r="B152" t="str">
        <v>EA-12</v>
      </c>
      <c r="C152" t="str">
        <v>國際經貿情勢分析</v>
      </c>
      <c r="D152" t="str">
        <v>國際商務系</v>
      </c>
      <c r="E152" t="str">
        <v>選修</v>
      </c>
      <c r="F152">
        <v>2</v>
      </c>
      <c r="G152" t="str">
        <v>全學年</v>
      </c>
      <c r="H152" t="str">
        <v>外系/跨系</v>
      </c>
      <c r="I152" t="str">
        <v>東亞語言與商務微學程</v>
      </c>
    </row>
    <row r="153">
      <c r="A153" t="b">
        <v>0</v>
      </c>
      <c r="B153" t="str">
        <v>EA-13</v>
      </c>
      <c r="C153" t="str">
        <v>東南亞商務環境</v>
      </c>
      <c r="D153" t="str">
        <v>國際商務系</v>
      </c>
      <c r="E153" t="str">
        <v>選修</v>
      </c>
      <c r="F153">
        <v>2</v>
      </c>
      <c r="G153" t="str">
        <v>全學年</v>
      </c>
      <c r="H153" t="str">
        <v>外系/跨系</v>
      </c>
      <c r="I153" t="str">
        <v>東亞語言與商務微學程</v>
      </c>
    </row>
    <row r="154">
      <c r="A154" t="b">
        <v>0</v>
      </c>
      <c r="B154" t="str">
        <v>EA-14</v>
      </c>
      <c r="C154" t="str">
        <v>跨文化商務溝通</v>
      </c>
      <c r="D154" t="str">
        <v>國際商務系</v>
      </c>
      <c r="E154" t="str">
        <v>選修</v>
      </c>
      <c r="F154">
        <v>2</v>
      </c>
      <c r="G154" t="str">
        <v>全學年</v>
      </c>
      <c r="H154" t="str">
        <v>外系/跨系</v>
      </c>
      <c r="I154" t="str">
        <v>東亞語言與商務微學程</v>
      </c>
    </row>
    <row r="155">
      <c r="A155" t="b">
        <v>0</v>
      </c>
      <c r="B155" t="str">
        <v>EA-15</v>
      </c>
      <c r="C155" t="str">
        <v>數位行銷</v>
      </c>
      <c r="D155" t="str">
        <v>國際商務系</v>
      </c>
      <c r="E155" t="str">
        <v>選修</v>
      </c>
      <c r="F155">
        <v>2</v>
      </c>
      <c r="G155" t="str">
        <v>全學年</v>
      </c>
      <c r="H155" t="str">
        <v>外系/跨系</v>
      </c>
      <c r="I155" t="str">
        <v>東亞語言與商務微學程</v>
      </c>
    </row>
    <row r="156">
      <c r="A156" t="b">
        <v>0</v>
      </c>
      <c r="B156" t="str">
        <v>EA-16</v>
      </c>
      <c r="C156" t="str">
        <v>網路行銷</v>
      </c>
      <c r="D156" t="str">
        <v>應用外語系</v>
      </c>
      <c r="E156" t="str">
        <v>選修</v>
      </c>
      <c r="F156">
        <v>2</v>
      </c>
      <c r="G156" t="str">
        <v>全學年</v>
      </c>
      <c r="H156" t="str">
        <v>外系/跨系</v>
      </c>
      <c r="I156" t="str">
        <v>東亞語言與商務微學程</v>
      </c>
    </row>
    <row r="157">
      <c r="A157" t="b">
        <v>0</v>
      </c>
      <c r="B157" t="str">
        <v>EA-17</v>
      </c>
      <c r="C157" t="str">
        <v>市場開發策略</v>
      </c>
      <c r="D157" t="str">
        <v>應用外語系</v>
      </c>
      <c r="E157" t="str">
        <v>選修</v>
      </c>
      <c r="F157">
        <v>2</v>
      </c>
      <c r="G157" t="str">
        <v>全學年</v>
      </c>
      <c r="H157" t="str">
        <v>外系/跨系</v>
      </c>
      <c r="I157" t="str">
        <v>東亞語言與商務微學程</v>
      </c>
    </row>
    <row r="158">
      <c r="A158" t="b">
        <v>0</v>
      </c>
      <c r="B158" t="str">
        <v>EA-18</v>
      </c>
      <c r="C158" t="str">
        <v>AI 行銷應用</v>
      </c>
      <c r="D158" t="str">
        <v>應用外語系</v>
      </c>
      <c r="E158" t="str">
        <v>選修</v>
      </c>
      <c r="F158">
        <v>2</v>
      </c>
      <c r="G158" t="str">
        <v>全學年</v>
      </c>
      <c r="H158" t="str">
        <v>外系/跨系</v>
      </c>
      <c r="I158" t="str">
        <v>東亞語言與商務微學程</v>
      </c>
    </row>
    <row r="160">
      <c r="A160" t="str">
        <v>--- 試算表全域加總統計列 ---</v>
      </c>
    </row>
    <row r="161">
      <c r="A161" t="str">
        <v>已修總學分合計</v>
      </c>
      <c r="B161" t="str">
        <v/>
      </c>
      <c r="C161" t="str">
        <v/>
      </c>
      <c r="D161" t="str">
        <v/>
      </c>
      <c r="E161" t="str">
        <v/>
      </c>
      <c r="F161">
        <f>=SUMIF(A5:A158, TRUE, F5:F158)</f>
      </c>
      <c r="G161" t="str">
        <v/>
      </c>
      <c r="H161" t="str">
        <v>大學部畢業門檻: 128 學分</v>
      </c>
    </row>
    <row r="162">
      <c r="A162" t="str">
        <v>核心必修已修</v>
      </c>
      <c r="B162" t="str">
        <v/>
      </c>
      <c r="C162" t="str">
        <v/>
      </c>
      <c r="D162" t="str">
        <v/>
      </c>
      <c r="E162" t="str">
        <v/>
      </c>
      <c r="F162">
        <f>=SUMIFS(F5:F158, A5:A158, TRUE, E5:E158, "必修")</f>
      </c>
    </row>
    <row r="163">
      <c r="A163" t="str">
        <v>專業選修已修</v>
      </c>
      <c r="B163" t="str">
        <v/>
      </c>
      <c r="C163" t="str">
        <v/>
      </c>
      <c r="D163" t="str">
        <v/>
      </c>
      <c r="E163" t="str">
        <v/>
      </c>
      <c r="F163">
        <f>=SUMIFS(F5:F158, A5:A158, TRUE, E5:E158, "選修")</f>
      </c>
    </row>
    <row r="164">
      <c r="A164" t="str">
        <v>本系 (資管) 學分</v>
      </c>
      <c r="B164" t="str">
        <v/>
      </c>
      <c r="C164" t="str">
        <v/>
      </c>
      <c r="D164" t="str">
        <v/>
      </c>
      <c r="E164" t="str">
        <v/>
      </c>
      <c r="F164">
        <f>=SUMIFS(F5:F158, A5:A158, TRUE, H5:H158, "本系 (資管)")</f>
      </c>
    </row>
    <row r="165">
      <c r="A165" t="str">
        <v>外系 (跨系) 學分</v>
      </c>
      <c r="B165" t="str">
        <v/>
      </c>
      <c r="C165" t="str">
        <v/>
      </c>
      <c r="D165" t="str">
        <v/>
      </c>
      <c r="E165" t="str">
        <v/>
      </c>
      <c r="F165">
        <f>=SUMIFS(F5:F158, A5:A158, TRUE, H5:H158, "外系/跨系")</f>
      </c>
    </row>
  </sheetData>
  <ignoredErrors>
    <ignoredError numberStoredAsText="1" sqref="A1:I165"/>
  </ignoredErrors>
</worksheet>
</file>

<file path=xl/worksheets/sheet3.xml><?xml version="1.0" encoding="utf-8"?>
<worksheet xmlns="http://schemas.openxmlformats.org/spreadsheetml/2006/main" xmlns:r="http://schemas.openxmlformats.org/officeDocument/2006/relationships">
  <dimension ref="A1:I27"/>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企業永續經營管理學分學程 (學分學程) 修業學分試算表</v>
      </c>
    </row>
    <row r="2">
      <c r="A2" t="str">
        <v>設置要點與門檻：總學分至少 15 學分，必修至少 2 學分，選修至少 13 學分，需至少跨修一門外系</v>
      </c>
    </row>
    <row r="3">
      <c r="A3" t="str">
        <v>規劃設置單位：企業管理系 ｜ 參與教學：企業管理系、國際商務系、會計資訊系、財務金融系、資訊管理系、通識教育中心</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CS-1</v>
      </c>
      <c r="C6" t="str">
        <v>企業永續管理</v>
      </c>
      <c r="D6" t="str">
        <v>企業管理系</v>
      </c>
      <c r="E6" t="str">
        <v>選修</v>
      </c>
      <c r="F6">
        <v>2</v>
      </c>
      <c r="G6" t="str">
        <v>依學期開設</v>
      </c>
      <c r="H6" t="str">
        <v>外系/跨系</v>
      </c>
      <c r="I6" t="str">
        <v>專業選修</v>
      </c>
    </row>
    <row r="7">
      <c r="A7" t="b">
        <v>0</v>
      </c>
      <c r="B7" t="str">
        <v>CS-2</v>
      </c>
      <c r="C7" t="str">
        <v>生產與作業管理</v>
      </c>
      <c r="D7" t="str">
        <v>企業管理系</v>
      </c>
      <c r="E7" t="str">
        <v>選修</v>
      </c>
      <c r="F7">
        <v>3</v>
      </c>
      <c r="G7" t="str">
        <v>依學期開設</v>
      </c>
      <c r="H7" t="str">
        <v>外系/跨系</v>
      </c>
      <c r="I7" t="str">
        <v>專業選修</v>
      </c>
    </row>
    <row r="8">
      <c r="A8" t="b">
        <v>0</v>
      </c>
      <c r="B8" t="str">
        <v>CS-3</v>
      </c>
      <c r="C8" t="str">
        <v>通路管理</v>
      </c>
      <c r="D8" t="str">
        <v>企業管理系</v>
      </c>
      <c r="E8" t="str">
        <v>選修</v>
      </c>
      <c r="F8">
        <v>3</v>
      </c>
      <c r="G8" t="str">
        <v>依學期開設</v>
      </c>
      <c r="H8" t="str">
        <v>外系/跨系</v>
      </c>
      <c r="I8" t="str">
        <v>專業選修</v>
      </c>
    </row>
    <row r="9">
      <c r="A9" t="b">
        <v>0</v>
      </c>
      <c r="B9" t="str">
        <v>CS-4</v>
      </c>
      <c r="C9" t="str">
        <v>物流管理</v>
      </c>
      <c r="D9" t="str">
        <v>企業管理系</v>
      </c>
      <c r="E9" t="str">
        <v>選修</v>
      </c>
      <c r="F9">
        <v>2</v>
      </c>
      <c r="G9" t="str">
        <v>依學期開設</v>
      </c>
      <c r="H9" t="str">
        <v>外系/跨系</v>
      </c>
      <c r="I9" t="str">
        <v>專業選修</v>
      </c>
    </row>
    <row r="10">
      <c r="A10" t="b">
        <v>0</v>
      </c>
      <c r="B10" t="str">
        <v>CS-5</v>
      </c>
      <c r="C10" t="str">
        <v>非營利事業組織經營策略與管理</v>
      </c>
      <c r="D10" t="str">
        <v>企業管理系</v>
      </c>
      <c r="E10" t="str">
        <v>選修</v>
      </c>
      <c r="F10">
        <v>2</v>
      </c>
      <c r="G10" t="str">
        <v>依學期開設</v>
      </c>
      <c r="H10" t="str">
        <v>外系/跨系</v>
      </c>
      <c r="I10" t="str">
        <v>專業選修</v>
      </c>
    </row>
    <row r="11">
      <c r="A11" t="b">
        <v>0</v>
      </c>
      <c r="B11" t="str">
        <v>CS-6</v>
      </c>
      <c r="C11" t="str">
        <v>零售管理</v>
      </c>
      <c r="D11" t="str">
        <v>企業管理系</v>
      </c>
      <c r="E11" t="str">
        <v>選修</v>
      </c>
      <c r="F11">
        <v>2</v>
      </c>
      <c r="G11" t="str">
        <v>依學期開設</v>
      </c>
      <c r="H11" t="str">
        <v>外系/跨系</v>
      </c>
      <c r="I11" t="str">
        <v>專業選修</v>
      </c>
    </row>
    <row r="12">
      <c r="A12" t="b">
        <v>0</v>
      </c>
      <c r="B12" t="str">
        <v>CS-7</v>
      </c>
      <c r="C12" t="str">
        <v>供應鏈管理</v>
      </c>
      <c r="D12" t="str">
        <v>企業管理系 / 資管系(進修部)</v>
      </c>
      <c r="E12" t="str">
        <v>選修</v>
      </c>
      <c r="F12">
        <v>2</v>
      </c>
      <c r="G12" t="str">
        <v>依學期開設</v>
      </c>
      <c r="H12" t="str">
        <v>外系/跨系</v>
      </c>
      <c r="I12" t="str">
        <v>專業選修</v>
      </c>
    </row>
    <row r="13">
      <c r="A13" t="b">
        <v>0</v>
      </c>
      <c r="B13" t="str">
        <v>CS-8</v>
      </c>
      <c r="C13" t="str">
        <v>國際行銷管理</v>
      </c>
      <c r="D13" t="str">
        <v>國際商務系</v>
      </c>
      <c r="E13" t="str">
        <v>選修</v>
      </c>
      <c r="F13">
        <v>2</v>
      </c>
      <c r="G13" t="str">
        <v>依學期開設</v>
      </c>
      <c r="H13" t="str">
        <v>外系/跨系</v>
      </c>
      <c r="I13" t="str">
        <v>專業選修</v>
      </c>
    </row>
    <row r="14">
      <c r="A14" t="b">
        <v>0</v>
      </c>
      <c r="B14" t="str">
        <v>CS-9</v>
      </c>
      <c r="C14" t="str">
        <v>內部稽核與公司治理</v>
      </c>
      <c r="D14" t="str">
        <v>會計資訊系</v>
      </c>
      <c r="E14" t="str">
        <v>選修</v>
      </c>
      <c r="F14">
        <v>3</v>
      </c>
      <c r="G14" t="str">
        <v>依學期開設</v>
      </c>
      <c r="H14" t="str">
        <v>外系/跨系</v>
      </c>
      <c r="I14" t="str">
        <v>專業選修</v>
      </c>
    </row>
    <row r="15">
      <c r="A15" t="b">
        <v>0</v>
      </c>
      <c r="B15" t="str">
        <v>CS-10</v>
      </c>
      <c r="C15" t="str">
        <v>公司治理</v>
      </c>
      <c r="D15" t="str">
        <v>財務金融系</v>
      </c>
      <c r="E15" t="str">
        <v>選修</v>
      </c>
      <c r="F15">
        <v>3</v>
      </c>
      <c r="G15" t="str">
        <v>依學期開設</v>
      </c>
      <c r="H15" t="str">
        <v>外系/跨系</v>
      </c>
      <c r="I15" t="str">
        <v>專業選修</v>
      </c>
    </row>
    <row r="16">
      <c r="A16" t="b">
        <v>0</v>
      </c>
      <c r="B16" t="str">
        <v>CS-11</v>
      </c>
      <c r="C16" t="str">
        <v>智慧綠能</v>
      </c>
      <c r="D16" t="str">
        <v>通識教育中心</v>
      </c>
      <c r="E16" t="str">
        <v>選修</v>
      </c>
      <c r="F16">
        <v>2</v>
      </c>
      <c r="G16" t="str">
        <v>依學期開設</v>
      </c>
      <c r="H16" t="str">
        <v>外系/跨系</v>
      </c>
      <c r="I16" t="str">
        <v>專業選修</v>
      </c>
    </row>
    <row r="17">
      <c r="A17" t="b">
        <v>0</v>
      </c>
      <c r="B17" t="str">
        <v>CS-12</v>
      </c>
      <c r="C17" t="str">
        <v>全球環境變遷與永續發展</v>
      </c>
      <c r="D17" t="str">
        <v>通識教育中心</v>
      </c>
      <c r="E17" t="str">
        <v>選修</v>
      </c>
      <c r="F17">
        <v>2</v>
      </c>
      <c r="G17" t="str">
        <v>依學期開設</v>
      </c>
      <c r="H17" t="str">
        <v>外系/跨系</v>
      </c>
      <c r="I17" t="str">
        <v>專業選修</v>
      </c>
    </row>
    <row r="18">
      <c r="A18" t="b">
        <v>0</v>
      </c>
      <c r="B18" t="str">
        <v>CS-13</v>
      </c>
      <c r="C18" t="str">
        <v>綠生活與消費</v>
      </c>
      <c r="D18" t="str">
        <v>通識教育中心</v>
      </c>
      <c r="E18" t="str">
        <v>選修</v>
      </c>
      <c r="F18">
        <v>2</v>
      </c>
      <c r="G18" t="str">
        <v>依學期開設</v>
      </c>
      <c r="H18" t="str">
        <v>外系/跨系</v>
      </c>
      <c r="I18" t="str">
        <v>專業選修</v>
      </c>
    </row>
    <row r="19">
      <c r="A19" t="b">
        <v>0</v>
      </c>
      <c r="B19" t="str">
        <v>CS-14</v>
      </c>
      <c r="C19" t="str">
        <v>環境永續與企業綠化</v>
      </c>
      <c r="D19" t="str">
        <v>通識教育中心</v>
      </c>
      <c r="E19" t="str">
        <v>選修</v>
      </c>
      <c r="F19">
        <v>2</v>
      </c>
      <c r="G19" t="str">
        <v>依學期開設</v>
      </c>
      <c r="H19" t="str">
        <v>外系/跨系</v>
      </c>
      <c r="I19" t="str">
        <v>專業選修</v>
      </c>
    </row>
    <row r="21">
      <c r="A21" t="str">
        <v>--- 學程試算統計加總列 ---</v>
      </c>
    </row>
    <row r="22">
      <c r="A22" t="str">
        <v>已修畢總學分</v>
      </c>
      <c r="B22" t="str">
        <v/>
      </c>
      <c r="C22" t="str">
        <v/>
      </c>
      <c r="D22" t="str">
        <v/>
      </c>
      <c r="E22" t="str">
        <v/>
      </c>
      <c r="F22">
        <f>=SUMIF(A6:A19, TRUE, F6:F19)</f>
      </c>
      <c r="G22" t="str">
        <v/>
      </c>
      <c r="H22" t="str">
        <v>門檻標準: 15 學分</v>
      </c>
    </row>
    <row r="23">
      <c r="A23" t="str">
        <v>核心必修學分</v>
      </c>
      <c r="B23" t="str">
        <v/>
      </c>
      <c r="C23" t="str">
        <v/>
      </c>
      <c r="D23" t="str">
        <v/>
      </c>
      <c r="E23" t="str">
        <v/>
      </c>
      <c r="F23">
        <f>=SUMIFS(F6:F19, A6:A19, TRUE, E6:E19, "必修")</f>
      </c>
      <c r="G23" t="str">
        <v/>
      </c>
      <c r="H23" t="str">
        <v>必修門檻: 2 學分</v>
      </c>
    </row>
    <row r="24">
      <c r="A24" t="str">
        <v>專業選修學分</v>
      </c>
      <c r="B24" t="str">
        <v/>
      </c>
      <c r="C24" t="str">
        <v/>
      </c>
      <c r="D24" t="str">
        <v/>
      </c>
      <c r="E24" t="str">
        <v/>
      </c>
      <c r="F24">
        <f>=SUMIFS(F6:F19, A6:A19, TRUE, E6:E19, "選修")</f>
      </c>
      <c r="G24" t="str">
        <v/>
      </c>
      <c r="H24" t="str">
        <v>選修門檻: 13 學分</v>
      </c>
    </row>
    <row r="25">
      <c r="A25" t="str">
        <v>本系修課學分</v>
      </c>
      <c r="B25" t="str">
        <v/>
      </c>
      <c r="C25" t="str">
        <v/>
      </c>
      <c r="D25" t="str">
        <v/>
      </c>
      <c r="E25" t="str">
        <v/>
      </c>
      <c r="F25">
        <f>=SUMIFS(F6:F19, A6:A19, TRUE, H6:H19, "本系 (資管)")</f>
      </c>
    </row>
    <row r="26">
      <c r="A26" t="str">
        <v>跨系修課門數</v>
      </c>
      <c r="B26" t="str">
        <v/>
      </c>
      <c r="C26" t="str">
        <v/>
      </c>
      <c r="D26" t="str">
        <v/>
      </c>
      <c r="E26" t="str">
        <v/>
      </c>
      <c r="F26">
        <f>=COUNTIFS(A6:A19, TRUE, H6:H19, "外系/跨系")</f>
      </c>
      <c r="G26" t="str">
        <v/>
      </c>
      <c r="H26" t="str">
        <v>跨系限制: 至少1門</v>
      </c>
    </row>
    <row r="27">
      <c r="A27" t="str">
        <v>證書取得資格</v>
      </c>
      <c r="B27" t="str">
        <v/>
      </c>
      <c r="C27" t="str">
        <v/>
      </c>
      <c r="D27" t="str">
        <v/>
      </c>
      <c r="E27" t="str">
        <v/>
      </c>
      <c r="F27">
        <f>=IF(AND(F22&gt;=15, F23&gt;=2, IF("true"="true", F26&gt;=1, TRUE)), "🟢 ✓ 符合資格 (可申請證書)", "🔴 尚未達標 (學分不足或缺跨系)")</f>
      </c>
    </row>
  </sheetData>
  <ignoredErrors>
    <ignoredError numberStoredAsText="1" sqref="A1:I27"/>
  </ignoredErrors>
</worksheet>
</file>

<file path=xl/worksheets/sheet4.xml><?xml version="1.0" encoding="utf-8"?>
<worksheet xmlns="http://schemas.openxmlformats.org/spreadsheetml/2006/main" xmlns:r="http://schemas.openxmlformats.org/officeDocument/2006/relationships">
  <dimension ref="A1:I28"/>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創新與創業管理學分學程 (學分學程) 修業學分試算表</v>
      </c>
    </row>
    <row r="2">
      <c r="A2" t="str">
        <v>設置要點與門檻：總學分至少 15 學分，必修至少 2 學分，選修至少 13 學分，需至少跨修一門外系</v>
      </c>
    </row>
    <row r="3">
      <c r="A3" t="str">
        <v>規劃設置單位：企業管理系 ｜ 參與教學：企業管理系、國際商務系、財務金融系、會計資訊系、應用外語系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IE-1</v>
      </c>
      <c r="C6" t="str">
        <v>創新與創業管理</v>
      </c>
      <c r="D6" t="str">
        <v>企業管理系</v>
      </c>
      <c r="E6" t="str">
        <v>選修</v>
      </c>
      <c r="F6">
        <v>2</v>
      </c>
      <c r="G6" t="str">
        <v>依學期開設</v>
      </c>
      <c r="H6" t="str">
        <v>外系/跨系</v>
      </c>
      <c r="I6" t="str">
        <v>專業選修</v>
      </c>
    </row>
    <row r="7">
      <c r="A7" t="b">
        <v>0</v>
      </c>
      <c r="B7" t="str">
        <v>IE-2</v>
      </c>
      <c r="C7" t="str">
        <v>產業競爭分析</v>
      </c>
      <c r="D7" t="str">
        <v>企業管理系</v>
      </c>
      <c r="E7" t="str">
        <v>選修</v>
      </c>
      <c r="F7">
        <v>2</v>
      </c>
      <c r="G7" t="str">
        <v>依學期開設</v>
      </c>
      <c r="H7" t="str">
        <v>外系/跨系</v>
      </c>
      <c r="I7" t="str">
        <v>專業選修</v>
      </c>
    </row>
    <row r="8">
      <c r="A8" t="b">
        <v>0</v>
      </c>
      <c r="B8" t="str">
        <v>IE-3</v>
      </c>
      <c r="C8" t="str">
        <v>顧客關係管理</v>
      </c>
      <c r="D8" t="str">
        <v>企業管理系</v>
      </c>
      <c r="E8" t="str">
        <v>選修</v>
      </c>
      <c r="F8">
        <v>2</v>
      </c>
      <c r="G8" t="str">
        <v>依學期開設</v>
      </c>
      <c r="H8" t="str">
        <v>外系/跨系</v>
      </c>
      <c r="I8" t="str">
        <v>專業選修</v>
      </c>
    </row>
    <row r="9">
      <c r="A9" t="b">
        <v>0</v>
      </c>
      <c r="B9" t="str">
        <v>IE-4</v>
      </c>
      <c r="C9" t="str">
        <v>服務業管理</v>
      </c>
      <c r="D9" t="str">
        <v>企業管理系</v>
      </c>
      <c r="E9" t="str">
        <v>選修</v>
      </c>
      <c r="F9">
        <v>2</v>
      </c>
      <c r="G9" t="str">
        <v>依學期開設</v>
      </c>
      <c r="H9" t="str">
        <v>外系/跨系</v>
      </c>
      <c r="I9" t="str">
        <v>專業選修</v>
      </c>
    </row>
    <row r="10">
      <c r="A10" t="b">
        <v>0</v>
      </c>
      <c r="B10" t="str">
        <v>IE-5</v>
      </c>
      <c r="C10" t="str">
        <v>新產品行銷</v>
      </c>
      <c r="D10" t="str">
        <v>企業管理系</v>
      </c>
      <c r="E10" t="str">
        <v>選修</v>
      </c>
      <c r="F10">
        <v>2</v>
      </c>
      <c r="G10" t="str">
        <v>依學期開設</v>
      </c>
      <c r="H10" t="str">
        <v>外系/跨系</v>
      </c>
      <c r="I10" t="str">
        <v>專業選修</v>
      </c>
    </row>
    <row r="11">
      <c r="A11" t="b">
        <v>0</v>
      </c>
      <c r="B11" t="str">
        <v>IE-6</v>
      </c>
      <c r="C11" t="str">
        <v>行銷企劃實作</v>
      </c>
      <c r="D11" t="str">
        <v>企業管理系</v>
      </c>
      <c r="E11" t="str">
        <v>選修</v>
      </c>
      <c r="F11">
        <v>2</v>
      </c>
      <c r="G11" t="str">
        <v>依學期開設</v>
      </c>
      <c r="H11" t="str">
        <v>外系/跨系</v>
      </c>
      <c r="I11" t="str">
        <v>專業選修</v>
      </c>
    </row>
    <row r="12">
      <c r="A12" t="b">
        <v>0</v>
      </c>
      <c r="B12" t="str">
        <v>IE-7</v>
      </c>
      <c r="C12" t="str">
        <v>企業成功個案</v>
      </c>
      <c r="D12" t="str">
        <v>企業管理系</v>
      </c>
      <c r="E12" t="str">
        <v>選修</v>
      </c>
      <c r="F12">
        <v>2</v>
      </c>
      <c r="G12" t="str">
        <v>依學期開設</v>
      </c>
      <c r="H12" t="str">
        <v>外系/跨系</v>
      </c>
      <c r="I12" t="str">
        <v>專業選修</v>
      </c>
    </row>
    <row r="13">
      <c r="A13" t="b">
        <v>0</v>
      </c>
      <c r="B13" t="str">
        <v>IE-8</v>
      </c>
      <c r="C13" t="str">
        <v>企業品牌個案</v>
      </c>
      <c r="D13" t="str">
        <v>企業管理系</v>
      </c>
      <c r="E13" t="str">
        <v>選修</v>
      </c>
      <c r="F13">
        <v>2</v>
      </c>
      <c r="G13" t="str">
        <v>依學期開設</v>
      </c>
      <c r="H13" t="str">
        <v>外系/跨系</v>
      </c>
      <c r="I13" t="str">
        <v>專業選修</v>
      </c>
    </row>
    <row r="14">
      <c r="A14" t="b">
        <v>0</v>
      </c>
      <c r="B14" t="str">
        <v>IE-9</v>
      </c>
      <c r="C14" t="str">
        <v>全球產業分析</v>
      </c>
      <c r="D14" t="str">
        <v>國際商務系</v>
      </c>
      <c r="E14" t="str">
        <v>選修</v>
      </c>
      <c r="F14">
        <v>2</v>
      </c>
      <c r="G14" t="str">
        <v>依學期開設</v>
      </c>
      <c r="H14" t="str">
        <v>外系/跨系</v>
      </c>
      <c r="I14" t="str">
        <v>專業選修</v>
      </c>
    </row>
    <row r="15">
      <c r="A15" t="b">
        <v>0</v>
      </c>
      <c r="B15" t="str">
        <v>IE-10</v>
      </c>
      <c r="C15" t="str">
        <v>跨文化商務溝通</v>
      </c>
      <c r="D15" t="str">
        <v>國際商務系</v>
      </c>
      <c r="E15" t="str">
        <v>選修</v>
      </c>
      <c r="F15">
        <v>2</v>
      </c>
      <c r="G15" t="str">
        <v>依學期開設</v>
      </c>
      <c r="H15" t="str">
        <v>外系/跨系</v>
      </c>
      <c r="I15" t="str">
        <v>專業選修</v>
      </c>
    </row>
    <row r="16">
      <c r="A16" t="b">
        <v>0</v>
      </c>
      <c r="B16" t="str">
        <v>IE-11</v>
      </c>
      <c r="C16" t="str">
        <v>國際經貿情勢分析</v>
      </c>
      <c r="D16" t="str">
        <v>國際商務系</v>
      </c>
      <c r="E16" t="str">
        <v>選修</v>
      </c>
      <c r="F16">
        <v>2</v>
      </c>
      <c r="G16" t="str">
        <v>依學期開設</v>
      </c>
      <c r="H16" t="str">
        <v>外系/跨系</v>
      </c>
      <c r="I16" t="str">
        <v>專業選修</v>
      </c>
    </row>
    <row r="17">
      <c r="A17" t="b">
        <v>0</v>
      </c>
      <c r="B17" t="str">
        <v>IE-12</v>
      </c>
      <c r="C17" t="str">
        <v>跨境電子商務</v>
      </c>
      <c r="D17" t="str">
        <v>國際商務系</v>
      </c>
      <c r="E17" t="str">
        <v>選修</v>
      </c>
      <c r="F17">
        <v>2</v>
      </c>
      <c r="G17" t="str">
        <v>依學期開設</v>
      </c>
      <c r="H17" t="str">
        <v>外系/跨系</v>
      </c>
      <c r="I17" t="str">
        <v>專業選修</v>
      </c>
    </row>
    <row r="18">
      <c r="A18" t="b">
        <v>0</v>
      </c>
      <c r="B18" t="str">
        <v>IE-13</v>
      </c>
      <c r="C18" t="str">
        <v>風險管理</v>
      </c>
      <c r="D18" t="str">
        <v>財務金融系</v>
      </c>
      <c r="E18" t="str">
        <v>選修</v>
      </c>
      <c r="F18">
        <v>2</v>
      </c>
      <c r="G18" t="str">
        <v>依學期開設</v>
      </c>
      <c r="H18" t="str">
        <v>外系/跨系</v>
      </c>
      <c r="I18" t="str">
        <v>專業選修</v>
      </c>
    </row>
    <row r="19">
      <c r="A19" t="b">
        <v>0</v>
      </c>
      <c r="B19" t="str">
        <v>IE-14</v>
      </c>
      <c r="C19" t="str">
        <v>商業模式研討</v>
      </c>
      <c r="D19" t="str">
        <v>會計資訊系</v>
      </c>
      <c r="E19" t="str">
        <v>選修</v>
      </c>
      <c r="F19">
        <v>2</v>
      </c>
      <c r="G19" t="str">
        <v>依學期開設</v>
      </c>
      <c r="H19" t="str">
        <v>外系/跨系</v>
      </c>
      <c r="I19" t="str">
        <v>專業選修</v>
      </c>
    </row>
    <row r="20">
      <c r="A20" t="b">
        <v>0</v>
      </c>
      <c r="B20" t="str">
        <v>IE-15</v>
      </c>
      <c r="C20" t="str">
        <v>創新與專案管理</v>
      </c>
      <c r="D20" t="str">
        <v>應用外語系</v>
      </c>
      <c r="E20" t="str">
        <v>選修</v>
      </c>
      <c r="F20">
        <v>2</v>
      </c>
      <c r="G20" t="str">
        <v>依學期開設</v>
      </c>
      <c r="H20" t="str">
        <v>外系/跨系</v>
      </c>
      <c r="I20" t="str">
        <v>專業選修</v>
      </c>
    </row>
    <row r="22">
      <c r="A22" t="str">
        <v>--- 學程試算統計加總列 ---</v>
      </c>
    </row>
    <row r="23">
      <c r="A23" t="str">
        <v>已修畢總學分</v>
      </c>
      <c r="B23" t="str">
        <v/>
      </c>
      <c r="C23" t="str">
        <v/>
      </c>
      <c r="D23" t="str">
        <v/>
      </c>
      <c r="E23" t="str">
        <v/>
      </c>
      <c r="F23">
        <f>=SUMIF(A6:A20, TRUE, F6:F20)</f>
      </c>
      <c r="G23" t="str">
        <v/>
      </c>
      <c r="H23" t="str">
        <v>門檻標準: 15 學分</v>
      </c>
    </row>
    <row r="24">
      <c r="A24" t="str">
        <v>核心必修學分</v>
      </c>
      <c r="B24" t="str">
        <v/>
      </c>
      <c r="C24" t="str">
        <v/>
      </c>
      <c r="D24" t="str">
        <v/>
      </c>
      <c r="E24" t="str">
        <v/>
      </c>
      <c r="F24">
        <f>=SUMIFS(F6:F20, A6:A20, TRUE, E6:E20, "必修")</f>
      </c>
      <c r="G24" t="str">
        <v/>
      </c>
      <c r="H24" t="str">
        <v>必修門檻: 2 學分</v>
      </c>
    </row>
    <row r="25">
      <c r="A25" t="str">
        <v>專業選修學分</v>
      </c>
      <c r="B25" t="str">
        <v/>
      </c>
      <c r="C25" t="str">
        <v/>
      </c>
      <c r="D25" t="str">
        <v/>
      </c>
      <c r="E25" t="str">
        <v/>
      </c>
      <c r="F25">
        <f>=SUMIFS(F6:F20, A6:A20, TRUE, E6:E20, "選修")</f>
      </c>
      <c r="G25" t="str">
        <v/>
      </c>
      <c r="H25" t="str">
        <v>選修門檻: 13 學分</v>
      </c>
    </row>
    <row r="26">
      <c r="A26" t="str">
        <v>本系修課學分</v>
      </c>
      <c r="B26" t="str">
        <v/>
      </c>
      <c r="C26" t="str">
        <v/>
      </c>
      <c r="D26" t="str">
        <v/>
      </c>
      <c r="E26" t="str">
        <v/>
      </c>
      <c r="F26">
        <f>=SUMIFS(F6:F20, A6:A20, TRUE, H6:H20, "本系 (資管)")</f>
      </c>
    </row>
    <row r="27">
      <c r="A27" t="str">
        <v>跨系修課門數</v>
      </c>
      <c r="B27" t="str">
        <v/>
      </c>
      <c r="C27" t="str">
        <v/>
      </c>
      <c r="D27" t="str">
        <v/>
      </c>
      <c r="E27" t="str">
        <v/>
      </c>
      <c r="F27">
        <f>=COUNTIFS(A6:A20, TRUE, H6:H20, "外系/跨系")</f>
      </c>
      <c r="G27" t="str">
        <v/>
      </c>
      <c r="H27" t="str">
        <v>跨系限制: 至少1門</v>
      </c>
    </row>
    <row r="28">
      <c r="A28" t="str">
        <v>證書取得資格</v>
      </c>
      <c r="B28" t="str">
        <v/>
      </c>
      <c r="C28" t="str">
        <v/>
      </c>
      <c r="D28" t="str">
        <v/>
      </c>
      <c r="E28" t="str">
        <v/>
      </c>
      <c r="F28">
        <f>=IF(AND(F23&gt;=15, F24&gt;=2, IF("true"="true", F27&gt;=1, TRUE)), "🟢 ✓ 符合資格 (可申請證書)", "🔴 尚未達標 (學分不足或缺跨系)")</f>
      </c>
    </row>
  </sheetData>
  <ignoredErrors>
    <ignoredError numberStoredAsText="1" sqref="A1:I28"/>
  </ignoredErrors>
</worksheet>
</file>

<file path=xl/worksheets/sheet5.xml><?xml version="1.0" encoding="utf-8"?>
<worksheet xmlns="http://schemas.openxmlformats.org/spreadsheetml/2006/main" xmlns:r="http://schemas.openxmlformats.org/officeDocument/2006/relationships">
  <dimension ref="A1:I40"/>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外語與商務學分學程 (學分學程) 修業學分試算表</v>
      </c>
    </row>
    <row r="2">
      <c r="A2" t="str">
        <v>設置要點與門檻：總學分至少 15 學分，需至少跨修一門外系</v>
      </c>
    </row>
    <row r="3">
      <c r="A3" t="str">
        <v>規劃設置單位：國際商務系、應用外語系 ｜ 參與教學：國際商務系、應用外語系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FB-1</v>
      </c>
      <c r="C6" t="str">
        <v>日語(一)(二)(三)(四)</v>
      </c>
      <c r="D6" t="str">
        <v>國際商務系 / 應用外語系</v>
      </c>
      <c r="E6" t="str">
        <v>選修</v>
      </c>
      <c r="F6">
        <v>2</v>
      </c>
      <c r="G6" t="str">
        <v>依學期開設</v>
      </c>
      <c r="H6" t="str">
        <v>外系/跨系</v>
      </c>
      <c r="I6" t="str">
        <v>核心必修</v>
      </c>
    </row>
    <row r="7">
      <c r="A7" t="b">
        <v>0</v>
      </c>
      <c r="B7" t="str">
        <v>FB-2</v>
      </c>
      <c r="C7" t="str">
        <v>日語字彙與會話</v>
      </c>
      <c r="D7" t="str">
        <v>應用外語系</v>
      </c>
      <c r="E7" t="str">
        <v>選修</v>
      </c>
      <c r="F7">
        <v>2</v>
      </c>
      <c r="G7" t="str">
        <v>依學期開設</v>
      </c>
      <c r="H7" t="str">
        <v>外系/跨系</v>
      </c>
      <c r="I7" t="str">
        <v>核心必修</v>
      </c>
    </row>
    <row r="8">
      <c r="A8" t="b">
        <v>0</v>
      </c>
      <c r="B8" t="str">
        <v>FB-3</v>
      </c>
      <c r="C8" t="str">
        <v>日語閱讀與文法</v>
      </c>
      <c r="D8" t="str">
        <v>應用外語系</v>
      </c>
      <c r="E8" t="str">
        <v>選修</v>
      </c>
      <c r="F8">
        <v>2</v>
      </c>
      <c r="G8" t="str">
        <v>依學期開設</v>
      </c>
      <c r="H8" t="str">
        <v>外系/跨系</v>
      </c>
      <c r="I8" t="str">
        <v>核心必修</v>
      </c>
    </row>
    <row r="9">
      <c r="A9" t="b">
        <v>0</v>
      </c>
      <c r="B9" t="str">
        <v>FB-4</v>
      </c>
      <c r="C9" t="str">
        <v>日語寫作與翻譯</v>
      </c>
      <c r="D9" t="str">
        <v>應用外語系</v>
      </c>
      <c r="E9" t="str">
        <v>選修</v>
      </c>
      <c r="F9">
        <v>2</v>
      </c>
      <c r="G9" t="str">
        <v>依學期開設</v>
      </c>
      <c r="H9" t="str">
        <v>外系/跨系</v>
      </c>
      <c r="I9" t="str">
        <v>核心必修</v>
      </c>
    </row>
    <row r="10">
      <c r="A10" t="b">
        <v>0</v>
      </c>
      <c r="B10" t="str">
        <v>FB-5</v>
      </c>
      <c r="C10" t="str">
        <v>韓語(一)(二)(三)(四)</v>
      </c>
      <c r="D10" t="str">
        <v>國際商務系</v>
      </c>
      <c r="E10" t="str">
        <v>選修</v>
      </c>
      <c r="F10">
        <v>2</v>
      </c>
      <c r="G10" t="str">
        <v>依學期開設</v>
      </c>
      <c r="H10" t="str">
        <v>外系/跨系</v>
      </c>
      <c r="I10" t="str">
        <v>核心必修</v>
      </c>
    </row>
    <row r="11">
      <c r="A11" t="b">
        <v>0</v>
      </c>
      <c r="B11" t="str">
        <v>FB-6</v>
      </c>
      <c r="C11" t="str">
        <v>實用韓語</v>
      </c>
      <c r="D11" t="str">
        <v>應用外語系</v>
      </c>
      <c r="E11" t="str">
        <v>選修</v>
      </c>
      <c r="F11">
        <v>2</v>
      </c>
      <c r="G11" t="str">
        <v>依學期開設</v>
      </c>
      <c r="H11" t="str">
        <v>外系/跨系</v>
      </c>
      <c r="I11" t="str">
        <v>核心必修</v>
      </c>
    </row>
    <row r="12">
      <c r="A12" t="b">
        <v>0</v>
      </c>
      <c r="B12" t="str">
        <v>FB-7</v>
      </c>
      <c r="C12" t="str">
        <v>越南語(一)(二)</v>
      </c>
      <c r="D12" t="str">
        <v>國際商務系</v>
      </c>
      <c r="E12" t="str">
        <v>選修</v>
      </c>
      <c r="F12">
        <v>2</v>
      </c>
      <c r="G12" t="str">
        <v>依學期開設</v>
      </c>
      <c r="H12" t="str">
        <v>外系/跨系</v>
      </c>
      <c r="I12" t="str">
        <v>核心必修</v>
      </c>
    </row>
    <row r="13">
      <c r="A13" t="b">
        <v>0</v>
      </c>
      <c r="B13" t="str">
        <v>FB-8</v>
      </c>
      <c r="C13" t="str">
        <v>泰國語(一)(二)</v>
      </c>
      <c r="D13" t="str">
        <v>國際商務系</v>
      </c>
      <c r="E13" t="str">
        <v>選修</v>
      </c>
      <c r="F13">
        <v>2</v>
      </c>
      <c r="G13" t="str">
        <v>依學期開設</v>
      </c>
      <c r="H13" t="str">
        <v>外系/跨系</v>
      </c>
      <c r="I13" t="str">
        <v>核心必修</v>
      </c>
    </row>
    <row r="14">
      <c r="A14" t="b">
        <v>0</v>
      </c>
      <c r="B14" t="str">
        <v>FB-9</v>
      </c>
      <c r="C14" t="str">
        <v>西語字彙與會話</v>
      </c>
      <c r="D14" t="str">
        <v>應用外語系</v>
      </c>
      <c r="E14" t="str">
        <v>選修</v>
      </c>
      <c r="F14">
        <v>2</v>
      </c>
      <c r="G14" t="str">
        <v>依學期開設</v>
      </c>
      <c r="H14" t="str">
        <v>外系/跨系</v>
      </c>
      <c r="I14" t="str">
        <v>核心必修</v>
      </c>
    </row>
    <row r="15">
      <c r="A15" t="b">
        <v>0</v>
      </c>
      <c r="B15" t="str">
        <v>FB-10</v>
      </c>
      <c r="C15" t="str">
        <v>西語閱讀與文法</v>
      </c>
      <c r="D15" t="str">
        <v>應用外語系</v>
      </c>
      <c r="E15" t="str">
        <v>選修</v>
      </c>
      <c r="F15">
        <v>2</v>
      </c>
      <c r="G15" t="str">
        <v>依學期開設</v>
      </c>
      <c r="H15" t="str">
        <v>外系/跨系</v>
      </c>
      <c r="I15" t="str">
        <v>核心必修</v>
      </c>
    </row>
    <row r="16">
      <c r="A16" t="b">
        <v>0</v>
      </c>
      <c r="B16" t="str">
        <v>FB-11</v>
      </c>
      <c r="C16" t="str">
        <v>西班牙語(一)(二)</v>
      </c>
      <c r="D16" t="str">
        <v>應用外語系</v>
      </c>
      <c r="E16" t="str">
        <v>選修</v>
      </c>
      <c r="F16">
        <v>3</v>
      </c>
      <c r="G16" t="str">
        <v>依學期開設</v>
      </c>
      <c r="H16" t="str">
        <v>外系/跨系</v>
      </c>
      <c r="I16" t="str">
        <v>核心必修</v>
      </c>
    </row>
    <row r="17">
      <c r="A17" t="b">
        <v>0</v>
      </c>
      <c r="B17" t="str">
        <v>FB-12</v>
      </c>
      <c r="C17" t="str">
        <v>法語字彙與會話</v>
      </c>
      <c r="D17" t="str">
        <v>應用外語系</v>
      </c>
      <c r="E17" t="str">
        <v>選修</v>
      </c>
      <c r="F17">
        <v>2</v>
      </c>
      <c r="G17" t="str">
        <v>依學期開設</v>
      </c>
      <c r="H17" t="str">
        <v>外系/跨系</v>
      </c>
      <c r="I17" t="str">
        <v>核心必修</v>
      </c>
    </row>
    <row r="18">
      <c r="A18" t="b">
        <v>0</v>
      </c>
      <c r="B18" t="str">
        <v>FB-13</v>
      </c>
      <c r="C18" t="str">
        <v>法語閱讀與文法</v>
      </c>
      <c r="D18" t="str">
        <v>應用外語系</v>
      </c>
      <c r="E18" t="str">
        <v>選修</v>
      </c>
      <c r="F18">
        <v>2</v>
      </c>
      <c r="G18" t="str">
        <v>依學期開設</v>
      </c>
      <c r="H18" t="str">
        <v>外系/跨系</v>
      </c>
      <c r="I18" t="str">
        <v>核心必修</v>
      </c>
    </row>
    <row r="19">
      <c r="A19" t="b">
        <v>0</v>
      </c>
      <c r="B19" t="str">
        <v>FB-14</v>
      </c>
      <c r="C19" t="str">
        <v>法語(一)(二)</v>
      </c>
      <c r="D19" t="str">
        <v>應用外語系</v>
      </c>
      <c r="E19" t="str">
        <v>選修</v>
      </c>
      <c r="F19">
        <v>3</v>
      </c>
      <c r="G19" t="str">
        <v>依學期開設</v>
      </c>
      <c r="H19" t="str">
        <v>外系/跨系</v>
      </c>
      <c r="I19" t="str">
        <v>核心必修</v>
      </c>
    </row>
    <row r="20">
      <c r="A20" t="b">
        <v>0</v>
      </c>
      <c r="B20" t="str">
        <v>FB-15</v>
      </c>
      <c r="C20" t="str">
        <v>德語字彙與會話</v>
      </c>
      <c r="D20" t="str">
        <v>應用外語系</v>
      </c>
      <c r="E20" t="str">
        <v>選修</v>
      </c>
      <c r="F20">
        <v>2</v>
      </c>
      <c r="G20" t="str">
        <v>依學期開設</v>
      </c>
      <c r="H20" t="str">
        <v>外系/跨系</v>
      </c>
      <c r="I20" t="str">
        <v>核心必修</v>
      </c>
    </row>
    <row r="21">
      <c r="A21" t="b">
        <v>0</v>
      </c>
      <c r="B21" t="str">
        <v>FB-16</v>
      </c>
      <c r="C21" t="str">
        <v>德語閱讀與文法</v>
      </c>
      <c r="D21" t="str">
        <v>應用外語系</v>
      </c>
      <c r="E21" t="str">
        <v>選修</v>
      </c>
      <c r="F21">
        <v>2</v>
      </c>
      <c r="G21" t="str">
        <v>依學期開設</v>
      </c>
      <c r="H21" t="str">
        <v>外系/跨系</v>
      </c>
      <c r="I21" t="str">
        <v>核心必修</v>
      </c>
    </row>
    <row r="22">
      <c r="A22" t="b">
        <v>0</v>
      </c>
      <c r="B22" t="str">
        <v>FB-17</v>
      </c>
      <c r="C22" t="str">
        <v>德語(一)(二)</v>
      </c>
      <c r="D22" t="str">
        <v>應用外語系</v>
      </c>
      <c r="E22" t="str">
        <v>選修</v>
      </c>
      <c r="F22">
        <v>3</v>
      </c>
      <c r="G22" t="str">
        <v>依學期開設</v>
      </c>
      <c r="H22" t="str">
        <v>外系/跨系</v>
      </c>
      <c r="I22" t="str">
        <v>核心必修</v>
      </c>
    </row>
    <row r="23">
      <c r="A23" t="b">
        <v>0</v>
      </c>
      <c r="B23" t="str">
        <v>FB-18</v>
      </c>
      <c r="C23" t="str">
        <v>現代商業導論與學習方法</v>
      </c>
      <c r="D23" t="str">
        <v>國際商務系 / 應用外語系</v>
      </c>
      <c r="E23" t="str">
        <v>選修</v>
      </c>
      <c r="F23">
        <v>2</v>
      </c>
      <c r="G23" t="str">
        <v>依學期開設</v>
      </c>
      <c r="H23" t="str">
        <v>外系/跨系</v>
      </c>
      <c r="I23" t="str">
        <v>進階專業</v>
      </c>
    </row>
    <row r="24">
      <c r="A24" t="b">
        <v>0</v>
      </c>
      <c r="B24" t="str">
        <v>FB-19</v>
      </c>
      <c r="C24" t="str">
        <v>國際行銷</v>
      </c>
      <c r="D24" t="str">
        <v>國際商務系 / 應用外語系</v>
      </c>
      <c r="E24" t="str">
        <v>選修</v>
      </c>
      <c r="F24">
        <v>2</v>
      </c>
      <c r="G24" t="str">
        <v>依學期開設</v>
      </c>
      <c r="H24" t="str">
        <v>外系/跨系</v>
      </c>
      <c r="I24" t="str">
        <v>進階專業</v>
      </c>
    </row>
    <row r="25">
      <c r="A25" t="b">
        <v>0</v>
      </c>
      <c r="B25" t="str">
        <v>FB-20</v>
      </c>
      <c r="C25" t="str">
        <v>全球運籌管理</v>
      </c>
      <c r="D25" t="str">
        <v>國際商務系</v>
      </c>
      <c r="E25" t="str">
        <v>選修</v>
      </c>
      <c r="F25">
        <v>2</v>
      </c>
      <c r="G25" t="str">
        <v>依學期開設</v>
      </c>
      <c r="H25" t="str">
        <v>外系/跨系</v>
      </c>
      <c r="I25" t="str">
        <v>進階專業</v>
      </c>
    </row>
    <row r="26">
      <c r="A26" t="b">
        <v>0</v>
      </c>
      <c r="B26" t="str">
        <v>FB-21</v>
      </c>
      <c r="C26" t="str">
        <v>國際經貿情勢分析</v>
      </c>
      <c r="D26" t="str">
        <v>國際商務系</v>
      </c>
      <c r="E26" t="str">
        <v>選修</v>
      </c>
      <c r="F26">
        <v>2</v>
      </c>
      <c r="G26" t="str">
        <v>依學期開設</v>
      </c>
      <c r="H26" t="str">
        <v>外系/跨系</v>
      </c>
      <c r="I26" t="str">
        <v>進階專業</v>
      </c>
    </row>
    <row r="27">
      <c r="A27" t="b">
        <v>0</v>
      </c>
      <c r="B27" t="str">
        <v>FB-22</v>
      </c>
      <c r="C27" t="str">
        <v>東南亞商務環境</v>
      </c>
      <c r="D27" t="str">
        <v>國際商務系</v>
      </c>
      <c r="E27" t="str">
        <v>選修</v>
      </c>
      <c r="F27">
        <v>2</v>
      </c>
      <c r="G27" t="str">
        <v>依學期開設</v>
      </c>
      <c r="H27" t="str">
        <v>外系/跨系</v>
      </c>
      <c r="I27" t="str">
        <v>進階專業</v>
      </c>
    </row>
    <row r="28">
      <c r="A28" t="b">
        <v>0</v>
      </c>
      <c r="B28" t="str">
        <v>FB-23</v>
      </c>
      <c r="C28" t="str">
        <v>跨文化商務溝通</v>
      </c>
      <c r="D28" t="str">
        <v>國際商務系</v>
      </c>
      <c r="E28" t="str">
        <v>選修</v>
      </c>
      <c r="F28">
        <v>2</v>
      </c>
      <c r="G28" t="str">
        <v>依學期開設</v>
      </c>
      <c r="H28" t="str">
        <v>外系/跨系</v>
      </c>
      <c r="I28" t="str">
        <v>進階專業</v>
      </c>
    </row>
    <row r="29">
      <c r="A29" t="b">
        <v>0</v>
      </c>
      <c r="B29" t="str">
        <v>FB-24</v>
      </c>
      <c r="C29" t="str">
        <v>數位行銷</v>
      </c>
      <c r="D29" t="str">
        <v>國際商務系</v>
      </c>
      <c r="E29" t="str">
        <v>選修</v>
      </c>
      <c r="F29">
        <v>2</v>
      </c>
      <c r="G29" t="str">
        <v>依學期開設</v>
      </c>
      <c r="H29" t="str">
        <v>外系/跨系</v>
      </c>
      <c r="I29" t="str">
        <v>進階專業</v>
      </c>
    </row>
    <row r="30">
      <c r="A30" t="b">
        <v>0</v>
      </c>
      <c r="B30" t="str">
        <v>FB-25</v>
      </c>
      <c r="C30" t="str">
        <v>網路行銷</v>
      </c>
      <c r="D30" t="str">
        <v>應用外語系</v>
      </c>
      <c r="E30" t="str">
        <v>選修</v>
      </c>
      <c r="F30">
        <v>2</v>
      </c>
      <c r="G30" t="str">
        <v>依學期開設</v>
      </c>
      <c r="H30" t="str">
        <v>外系/跨系</v>
      </c>
      <c r="I30" t="str">
        <v>進階專業</v>
      </c>
    </row>
    <row r="31">
      <c r="A31" t="b">
        <v>0</v>
      </c>
      <c r="B31" t="str">
        <v>FB-26</v>
      </c>
      <c r="C31" t="str">
        <v>市場開發策略</v>
      </c>
      <c r="D31" t="str">
        <v>應用外語系</v>
      </c>
      <c r="E31" t="str">
        <v>選修</v>
      </c>
      <c r="F31">
        <v>2</v>
      </c>
      <c r="G31" t="str">
        <v>依學期開設</v>
      </c>
      <c r="H31" t="str">
        <v>外系/跨系</v>
      </c>
      <c r="I31" t="str">
        <v>進階專業</v>
      </c>
    </row>
    <row r="32">
      <c r="A32" t="b">
        <v>0</v>
      </c>
      <c r="B32" t="str">
        <v>FB-27</v>
      </c>
      <c r="C32" t="str">
        <v>AI 行銷應用</v>
      </c>
      <c r="D32" t="str">
        <v>應用外語系</v>
      </c>
      <c r="E32" t="str">
        <v>選修</v>
      </c>
      <c r="F32">
        <v>2</v>
      </c>
      <c r="G32" t="str">
        <v>依學期開設</v>
      </c>
      <c r="H32" t="str">
        <v>外系/跨系</v>
      </c>
      <c r="I32" t="str">
        <v>進階專業</v>
      </c>
    </row>
    <row r="34">
      <c r="A34" t="str">
        <v>--- 學程試算統計加總列 ---</v>
      </c>
    </row>
    <row r="35">
      <c r="A35" t="str">
        <v>已修畢總學分</v>
      </c>
      <c r="B35" t="str">
        <v/>
      </c>
      <c r="C35" t="str">
        <v/>
      </c>
      <c r="D35" t="str">
        <v/>
      </c>
      <c r="E35" t="str">
        <v/>
      </c>
      <c r="F35">
        <f>=SUMIF(A6:A32, TRUE, F6:F32)</f>
      </c>
      <c r="G35" t="str">
        <v/>
      </c>
      <c r="H35" t="str">
        <v>門檻標準: 15 學分</v>
      </c>
    </row>
    <row r="36">
      <c r="A36" t="str">
        <v>核心必修學分</v>
      </c>
      <c r="B36" t="str">
        <v/>
      </c>
      <c r="C36" t="str">
        <v/>
      </c>
      <c r="D36" t="str">
        <v/>
      </c>
      <c r="E36" t="str">
        <v/>
      </c>
      <c r="F36">
        <f>=SUMIFS(F6:F32, A6:A32, TRUE, E6:E32, "必修")</f>
      </c>
      <c r="G36" t="str">
        <v/>
      </c>
      <c r="H36" t="str">
        <v>必修門檻: 0 學分</v>
      </c>
    </row>
    <row r="37">
      <c r="A37" t="str">
        <v>專業選修學分</v>
      </c>
      <c r="B37" t="str">
        <v/>
      </c>
      <c r="C37" t="str">
        <v/>
      </c>
      <c r="D37" t="str">
        <v/>
      </c>
      <c r="E37" t="str">
        <v/>
      </c>
      <c r="F37">
        <f>=SUMIFS(F6:F32, A6:A32, TRUE, E6:E32, "選修")</f>
      </c>
      <c r="G37" t="str">
        <v/>
      </c>
      <c r="H37" t="str">
        <v>選修門檻: 0 學分</v>
      </c>
    </row>
    <row r="38">
      <c r="A38" t="str">
        <v>本系修課學分</v>
      </c>
      <c r="B38" t="str">
        <v/>
      </c>
      <c r="C38" t="str">
        <v/>
      </c>
      <c r="D38" t="str">
        <v/>
      </c>
      <c r="E38" t="str">
        <v/>
      </c>
      <c r="F38">
        <f>=SUMIFS(F6:F32, A6:A32, TRUE, H6:H32, "本系 (資管)")</f>
      </c>
    </row>
    <row r="39">
      <c r="A39" t="str">
        <v>跨系修課門數</v>
      </c>
      <c r="B39" t="str">
        <v/>
      </c>
      <c r="C39" t="str">
        <v/>
      </c>
      <c r="D39" t="str">
        <v/>
      </c>
      <c r="E39" t="str">
        <v/>
      </c>
      <c r="F39">
        <f>=COUNTIFS(A6:A32, TRUE, H6:H32, "外系/跨系")</f>
      </c>
      <c r="G39" t="str">
        <v/>
      </c>
      <c r="H39" t="str">
        <v>跨系限制: 至少1門</v>
      </c>
    </row>
    <row r="40">
      <c r="A40" t="str">
        <v>證書取得資格</v>
      </c>
      <c r="B40" t="str">
        <v/>
      </c>
      <c r="C40" t="str">
        <v/>
      </c>
      <c r="D40" t="str">
        <v/>
      </c>
      <c r="E40" t="str">
        <v/>
      </c>
      <c r="F40">
        <f>=IF(AND(F35&gt;=15, F36&gt;=0, IF("true"="true", F39&gt;=1, TRUE)), "🟢 ✓ 符合資格 (可申請證書)", "🔴 尚未達標 (學分不足或缺跨系)")</f>
      </c>
    </row>
  </sheetData>
  <ignoredErrors>
    <ignoredError numberStoredAsText="1" sqref="A1:I40"/>
  </ignoredErrors>
</worksheet>
</file>

<file path=xl/worksheets/sheet6.xml><?xml version="1.0" encoding="utf-8"?>
<worksheet xmlns="http://schemas.openxmlformats.org/spreadsheetml/2006/main" xmlns:r="http://schemas.openxmlformats.org/officeDocument/2006/relationships">
  <dimension ref="A1:I27"/>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大數據微學程 (微學程) 修業學分試算表</v>
      </c>
    </row>
    <row r="2">
      <c r="A2" t="str">
        <v>設置要點與門檻：總學分至少 8 學分，需至少跨修一門外系</v>
      </c>
    </row>
    <row r="3">
      <c r="A3" t="str">
        <v>規劃設置單位：財經學院 ｜ 參與教學：會計資訊系、財務金融系、財政稅務系、資訊管理系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BD-1</v>
      </c>
      <c r="C6" t="str">
        <v>程式設計</v>
      </c>
      <c r="D6" t="str">
        <v>會計資訊系</v>
      </c>
      <c r="E6" t="str">
        <v>選修</v>
      </c>
      <c r="F6">
        <v>3</v>
      </c>
      <c r="G6" t="str">
        <v>依學期開設</v>
      </c>
      <c r="H6" t="str">
        <v>外系/跨系</v>
      </c>
      <c r="I6" t="str">
        <v>核心必修</v>
      </c>
    </row>
    <row r="7">
      <c r="A7" t="b">
        <v>0</v>
      </c>
      <c r="B7" t="str">
        <v>BD-2</v>
      </c>
      <c r="C7" t="str">
        <v>程式設計</v>
      </c>
      <c r="D7" t="str">
        <v>財政稅務系</v>
      </c>
      <c r="E7" t="str">
        <v>選修</v>
      </c>
      <c r="F7">
        <v>3</v>
      </c>
      <c r="G7" t="str">
        <v>依學期開設</v>
      </c>
      <c r="H7" t="str">
        <v>外系/跨系</v>
      </c>
      <c r="I7" t="str">
        <v>核心必修</v>
      </c>
    </row>
    <row r="8">
      <c r="A8" t="b">
        <v>0</v>
      </c>
      <c r="B8" t="str">
        <v>BD-3</v>
      </c>
      <c r="C8" t="str">
        <v>程式設計</v>
      </c>
      <c r="D8" t="str">
        <v>財務金融系</v>
      </c>
      <c r="E8" t="str">
        <v>選修</v>
      </c>
      <c r="F8">
        <v>3</v>
      </c>
      <c r="G8" t="str">
        <v>依學期開設</v>
      </c>
      <c r="H8" t="str">
        <v>外系/跨系</v>
      </c>
      <c r="I8" t="str">
        <v>核心必修</v>
      </c>
    </row>
    <row r="9">
      <c r="A9" t="b">
        <v>0</v>
      </c>
      <c r="B9" t="str">
        <v>BD-4</v>
      </c>
      <c r="C9" t="str">
        <v>程式設計</v>
      </c>
      <c r="D9" t="str">
        <v>資訊管理系</v>
      </c>
      <c r="E9" t="str">
        <v>選修</v>
      </c>
      <c r="F9">
        <v>3</v>
      </c>
      <c r="G9" t="str">
        <v>依學期開設</v>
      </c>
      <c r="H9" t="str">
        <v>本系 (資管)</v>
      </c>
      <c r="I9" t="str">
        <v>核心必修</v>
      </c>
    </row>
    <row r="10">
      <c r="A10" t="b">
        <v>0</v>
      </c>
      <c r="B10" t="str">
        <v>BD-5</v>
      </c>
      <c r="C10" t="str">
        <v>機器學習概論與應用</v>
      </c>
      <c r="D10" t="str">
        <v>財務金融系</v>
      </c>
      <c r="E10" t="str">
        <v>選修</v>
      </c>
      <c r="F10">
        <v>3</v>
      </c>
      <c r="G10" t="str">
        <v>依學期開設</v>
      </c>
      <c r="H10" t="str">
        <v>外系/跨系</v>
      </c>
      <c r="I10" t="str">
        <v>進階專業</v>
      </c>
    </row>
    <row r="11">
      <c r="A11" t="b">
        <v>0</v>
      </c>
      <c r="B11" t="str">
        <v>BD-6</v>
      </c>
      <c r="C11" t="str">
        <v>多語言與財經程式應用</v>
      </c>
      <c r="D11" t="str">
        <v>財務金融系</v>
      </c>
      <c r="E11" t="str">
        <v>選修</v>
      </c>
      <c r="F11">
        <v>3</v>
      </c>
      <c r="G11" t="str">
        <v>依學期開設</v>
      </c>
      <c r="H11" t="str">
        <v>外系/跨系</v>
      </c>
      <c r="I11" t="str">
        <v>進階專業</v>
      </c>
    </row>
    <row r="12">
      <c r="A12" t="b">
        <v>0</v>
      </c>
      <c r="B12" t="str">
        <v>BD-7</v>
      </c>
      <c r="C12" t="str">
        <v>大數據金融</v>
      </c>
      <c r="D12" t="str">
        <v>財務金融系</v>
      </c>
      <c r="E12" t="str">
        <v>選修</v>
      </c>
      <c r="F12">
        <v>3</v>
      </c>
      <c r="G12" t="str">
        <v>依學期開設</v>
      </c>
      <c r="H12" t="str">
        <v>外系/跨系</v>
      </c>
      <c r="I12" t="str">
        <v>進階專業</v>
      </c>
    </row>
    <row r="13">
      <c r="A13" t="b">
        <v>0</v>
      </c>
      <c r="B13" t="str">
        <v>BD-8</v>
      </c>
      <c r="C13" t="str">
        <v>資料探勘</v>
      </c>
      <c r="D13" t="str">
        <v>會計資訊系</v>
      </c>
      <c r="E13" t="str">
        <v>選修</v>
      </c>
      <c r="F13">
        <v>3</v>
      </c>
      <c r="G13" t="str">
        <v>依學期開設</v>
      </c>
      <c r="H13" t="str">
        <v>外系/跨系</v>
      </c>
      <c r="I13" t="str">
        <v>進階專業</v>
      </c>
    </row>
    <row r="14">
      <c r="A14" t="b">
        <v>0</v>
      </c>
      <c r="B14" t="str">
        <v>BD-9</v>
      </c>
      <c r="C14" t="str">
        <v>視覺化資料分析</v>
      </c>
      <c r="D14" t="str">
        <v>會計資訊系</v>
      </c>
      <c r="E14" t="str">
        <v>選修</v>
      </c>
      <c r="F14">
        <v>3</v>
      </c>
      <c r="G14" t="str">
        <v>依學期開設</v>
      </c>
      <c r="H14" t="str">
        <v>外系/跨系</v>
      </c>
      <c r="I14" t="str">
        <v>進階專業</v>
      </c>
    </row>
    <row r="15">
      <c r="A15" t="b">
        <v>0</v>
      </c>
      <c r="B15" t="str">
        <v>BD-10</v>
      </c>
      <c r="C15" t="str">
        <v>機器學習與深度學習</v>
      </c>
      <c r="D15" t="str">
        <v>資訊管理系</v>
      </c>
      <c r="E15" t="str">
        <v>選修</v>
      </c>
      <c r="F15">
        <v>3</v>
      </c>
      <c r="G15" t="str">
        <v>依學期開設</v>
      </c>
      <c r="H15" t="str">
        <v>本系 (資管)</v>
      </c>
      <c r="I15" t="str">
        <v>進階專業</v>
      </c>
    </row>
    <row r="16">
      <c r="A16" t="b">
        <v>0</v>
      </c>
      <c r="B16" t="str">
        <v>BD-11</v>
      </c>
      <c r="C16" t="str">
        <v>資料探勘與大數據分析</v>
      </c>
      <c r="D16" t="str">
        <v>資訊管理系</v>
      </c>
      <c r="E16" t="str">
        <v>選修</v>
      </c>
      <c r="F16">
        <v>3</v>
      </c>
      <c r="G16" t="str">
        <v>依學期開設</v>
      </c>
      <c r="H16" t="str">
        <v>本系 (資管)</v>
      </c>
      <c r="I16" t="str">
        <v>進階專業</v>
      </c>
    </row>
    <row r="17">
      <c r="A17" t="b">
        <v>0</v>
      </c>
      <c r="B17" t="str">
        <v>BD-12</v>
      </c>
      <c r="C17" t="str">
        <v>商業智慧與資料科學(進修學制)</v>
      </c>
      <c r="D17" t="str">
        <v>資訊管理系</v>
      </c>
      <c r="E17" t="str">
        <v>選修</v>
      </c>
      <c r="F17">
        <v>3</v>
      </c>
      <c r="G17" t="str">
        <v>依學期開設</v>
      </c>
      <c r="H17" t="str">
        <v>本系 (資管)</v>
      </c>
      <c r="I17" t="str">
        <v>進階專業</v>
      </c>
    </row>
    <row r="18">
      <c r="A18" t="b">
        <v>0</v>
      </c>
      <c r="B18" t="str">
        <v>BD-13</v>
      </c>
      <c r="C18" t="str">
        <v>人工智慧商業運用 (AI in Business)</v>
      </c>
      <c r="D18" t="str">
        <v>財經學院</v>
      </c>
      <c r="E18" t="str">
        <v>選修</v>
      </c>
      <c r="F18">
        <v>1</v>
      </c>
      <c r="G18" t="str">
        <v>依學期開設</v>
      </c>
      <c r="H18" t="str">
        <v>外系/跨系</v>
      </c>
      <c r="I18" t="str">
        <v>進階專業</v>
      </c>
    </row>
    <row r="19">
      <c r="A19" t="b">
        <v>0</v>
      </c>
      <c r="B19" t="str">
        <v>BD-14</v>
      </c>
      <c r="C19" t="str">
        <v>永續發展商業運用 (SDGs in Business)</v>
      </c>
      <c r="D19" t="str">
        <v>財經學院</v>
      </c>
      <c r="E19" t="str">
        <v>選修</v>
      </c>
      <c r="F19">
        <v>1</v>
      </c>
      <c r="G19" t="str">
        <v>依學期開設</v>
      </c>
      <c r="H19" t="str">
        <v>外系/跨系</v>
      </c>
      <c r="I19" t="str">
        <v>進階專業</v>
      </c>
    </row>
    <row r="21">
      <c r="A21" t="str">
        <v>--- 學程試算統計加總列 ---</v>
      </c>
    </row>
    <row r="22">
      <c r="A22" t="str">
        <v>已修畢總學分</v>
      </c>
      <c r="B22" t="str">
        <v/>
      </c>
      <c r="C22" t="str">
        <v/>
      </c>
      <c r="D22" t="str">
        <v/>
      </c>
      <c r="E22" t="str">
        <v/>
      </c>
      <c r="F22">
        <f>=SUMIF(A6:A19, TRUE, F6:F19)</f>
      </c>
      <c r="G22" t="str">
        <v/>
      </c>
      <c r="H22" t="str">
        <v>門檻標準: 8 學分</v>
      </c>
    </row>
    <row r="23">
      <c r="A23" t="str">
        <v>核心必修學分</v>
      </c>
      <c r="B23" t="str">
        <v/>
      </c>
      <c r="C23" t="str">
        <v/>
      </c>
      <c r="D23" t="str">
        <v/>
      </c>
      <c r="E23" t="str">
        <v/>
      </c>
      <c r="F23">
        <f>=SUMIFS(F6:F19, A6:A19, TRUE, E6:E19, "必修")</f>
      </c>
      <c r="G23" t="str">
        <v/>
      </c>
      <c r="H23" t="str">
        <v>必修門檻: 0 學分</v>
      </c>
    </row>
    <row r="24">
      <c r="A24" t="str">
        <v>專業選修學分</v>
      </c>
      <c r="B24" t="str">
        <v/>
      </c>
      <c r="C24" t="str">
        <v/>
      </c>
      <c r="D24" t="str">
        <v/>
      </c>
      <c r="E24" t="str">
        <v/>
      </c>
      <c r="F24">
        <f>=SUMIFS(F6:F19, A6:A19, TRUE, E6:E19, "選修")</f>
      </c>
      <c r="G24" t="str">
        <v/>
      </c>
      <c r="H24" t="str">
        <v>選修門檻: 0 學分</v>
      </c>
    </row>
    <row r="25">
      <c r="A25" t="str">
        <v>本系修課學分</v>
      </c>
      <c r="B25" t="str">
        <v/>
      </c>
      <c r="C25" t="str">
        <v/>
      </c>
      <c r="D25" t="str">
        <v/>
      </c>
      <c r="E25" t="str">
        <v/>
      </c>
      <c r="F25">
        <f>=SUMIFS(F6:F19, A6:A19, TRUE, H6:H19, "本系 (資管)")</f>
      </c>
    </row>
    <row r="26">
      <c r="A26" t="str">
        <v>跨系修課門數</v>
      </c>
      <c r="B26" t="str">
        <v/>
      </c>
      <c r="C26" t="str">
        <v/>
      </c>
      <c r="D26" t="str">
        <v/>
      </c>
      <c r="E26" t="str">
        <v/>
      </c>
      <c r="F26">
        <f>=COUNTIFS(A6:A19, TRUE, H6:H19, "外系/跨系")</f>
      </c>
      <c r="G26" t="str">
        <v/>
      </c>
      <c r="H26" t="str">
        <v>跨系限制: 至少1門</v>
      </c>
    </row>
    <row r="27">
      <c r="A27" t="str">
        <v>證書取得資格</v>
      </c>
      <c r="B27" t="str">
        <v/>
      </c>
      <c r="C27" t="str">
        <v/>
      </c>
      <c r="D27" t="str">
        <v/>
      </c>
      <c r="E27" t="str">
        <v/>
      </c>
      <c r="F27">
        <f>=IF(AND(F22&gt;=8, F23&gt;=0, IF("true"="true", F26&gt;=1, TRUE)), "🟢 ✓ 符合資格 (可申請證書)", "🔴 尚未達標 (學分不足或缺跨系)")</f>
      </c>
    </row>
  </sheetData>
  <ignoredErrors>
    <ignoredError numberStoredAsText="1" sqref="A1:I27"/>
  </ignoredErrors>
</worksheet>
</file>

<file path=xl/worksheets/sheet7.xml><?xml version="1.0" encoding="utf-8"?>
<worksheet xmlns="http://schemas.openxmlformats.org/spreadsheetml/2006/main" xmlns:r="http://schemas.openxmlformats.org/officeDocument/2006/relationships">
  <dimension ref="A1:I31"/>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數位行銷學分學程 (學分學程) 修業學分試算表</v>
      </c>
    </row>
    <row r="2">
      <c r="A2" t="str">
        <v>設置要點與門檻：總學分至少 15 學分，必修至少 2 學分，選修至少 13 學分，需至少跨修一門外系</v>
      </c>
    </row>
    <row r="3">
      <c r="A3" t="str">
        <v>規劃設置單位：企業管理系 ｜ 參與教學：企業管理系、資訊管理系、國際商務系、應用外語系、會計資訊系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DM-1</v>
      </c>
      <c r="C6" t="str">
        <v>數位行銷</v>
      </c>
      <c r="D6" t="str">
        <v>企業管理系</v>
      </c>
      <c r="E6" t="str">
        <v>選修</v>
      </c>
      <c r="F6">
        <v>2</v>
      </c>
      <c r="G6" t="str">
        <v>依學期開設</v>
      </c>
      <c r="H6" t="str">
        <v>外系/跨系</v>
      </c>
      <c r="I6" t="str">
        <v>專業選修</v>
      </c>
    </row>
    <row r="7">
      <c r="A7" t="b">
        <v>0</v>
      </c>
      <c r="B7" t="str">
        <v>DM-2</v>
      </c>
      <c r="C7" t="str">
        <v>電子商務與網路行銷</v>
      </c>
      <c r="D7" t="str">
        <v>企業管理系 / 資訊管理系</v>
      </c>
      <c r="E7" t="str">
        <v>選修</v>
      </c>
      <c r="F7">
        <v>2</v>
      </c>
      <c r="G7" t="str">
        <v>依學期開設</v>
      </c>
      <c r="H7" t="str">
        <v>本系 (資管)</v>
      </c>
      <c r="I7" t="str">
        <v>專業選修</v>
      </c>
    </row>
    <row r="8">
      <c r="A8" t="b">
        <v>0</v>
      </c>
      <c r="B8" t="str">
        <v>DM-3</v>
      </c>
      <c r="C8" t="str">
        <v>程式設計</v>
      </c>
      <c r="D8" t="str">
        <v>企業管理系</v>
      </c>
      <c r="E8" t="str">
        <v>選修</v>
      </c>
      <c r="F8">
        <v>2</v>
      </c>
      <c r="G8" t="str">
        <v>依學期開設</v>
      </c>
      <c r="H8" t="str">
        <v>外系/跨系</v>
      </c>
      <c r="I8" t="str">
        <v>專業選修</v>
      </c>
    </row>
    <row r="9">
      <c r="A9" t="b">
        <v>0</v>
      </c>
      <c r="B9" t="str">
        <v>DM-4</v>
      </c>
      <c r="C9" t="str">
        <v>數位商務與管理</v>
      </c>
      <c r="D9" t="str">
        <v>企業管理系</v>
      </c>
      <c r="E9" t="str">
        <v>選修</v>
      </c>
      <c r="F9">
        <v>2</v>
      </c>
      <c r="G9" t="str">
        <v>依學期開設</v>
      </c>
      <c r="H9" t="str">
        <v>外系/跨系</v>
      </c>
      <c r="I9" t="str">
        <v>專業選修</v>
      </c>
    </row>
    <row r="10">
      <c r="A10" t="b">
        <v>0</v>
      </c>
      <c r="B10" t="str">
        <v>DM-5</v>
      </c>
      <c r="C10" t="str">
        <v>資訊管理</v>
      </c>
      <c r="D10" t="str">
        <v>企業管理系</v>
      </c>
      <c r="E10" t="str">
        <v>選修</v>
      </c>
      <c r="F10">
        <v>2</v>
      </c>
      <c r="G10" t="str">
        <v>依學期開設</v>
      </c>
      <c r="H10" t="str">
        <v>外系/跨系</v>
      </c>
      <c r="I10" t="str">
        <v>專業選修</v>
      </c>
    </row>
    <row r="11">
      <c r="A11" t="b">
        <v>0</v>
      </c>
      <c r="B11" t="str">
        <v>DM-6</v>
      </c>
      <c r="C11" t="str">
        <v>資料庫管理</v>
      </c>
      <c r="D11" t="str">
        <v>企業管理系</v>
      </c>
      <c r="E11" t="str">
        <v>選修</v>
      </c>
      <c r="F11">
        <v>2</v>
      </c>
      <c r="G11" t="str">
        <v>依學期開設</v>
      </c>
      <c r="H11" t="str">
        <v>外系/跨系</v>
      </c>
      <c r="I11" t="str">
        <v>專業選修</v>
      </c>
    </row>
    <row r="12">
      <c r="A12" t="b">
        <v>0</v>
      </c>
      <c r="B12" t="str">
        <v>DM-7</v>
      </c>
      <c r="C12" t="str">
        <v>統計應用軟體</v>
      </c>
      <c r="D12" t="str">
        <v>企業管理系</v>
      </c>
      <c r="E12" t="str">
        <v>選修</v>
      </c>
      <c r="F12">
        <v>2</v>
      </c>
      <c r="G12" t="str">
        <v>依學期開設</v>
      </c>
      <c r="H12" t="str">
        <v>外系/跨系</v>
      </c>
      <c r="I12" t="str">
        <v>專業選修</v>
      </c>
    </row>
    <row r="13">
      <c r="A13" t="b">
        <v>0</v>
      </c>
      <c r="B13" t="str">
        <v>DM-8</v>
      </c>
      <c r="C13" t="str">
        <v>資料科學分析與應用</v>
      </c>
      <c r="D13" t="str">
        <v>企業管理系</v>
      </c>
      <c r="E13" t="str">
        <v>選修</v>
      </c>
      <c r="F13">
        <v>2</v>
      </c>
      <c r="G13" t="str">
        <v>依學期開設</v>
      </c>
      <c r="H13" t="str">
        <v>外系/跨系</v>
      </c>
      <c r="I13" t="str">
        <v>專業選修</v>
      </c>
    </row>
    <row r="14">
      <c r="A14" t="b">
        <v>0</v>
      </c>
      <c r="B14" t="str">
        <v>DM-9</v>
      </c>
      <c r="C14" t="str">
        <v>消費者行為</v>
      </c>
      <c r="D14" t="str">
        <v>企業管理系</v>
      </c>
      <c r="E14" t="str">
        <v>選修</v>
      </c>
      <c r="F14">
        <v>2</v>
      </c>
      <c r="G14" t="str">
        <v>依學期開設</v>
      </c>
      <c r="H14" t="str">
        <v>外系/跨系</v>
      </c>
      <c r="I14" t="str">
        <v>專業選修</v>
      </c>
    </row>
    <row r="15">
      <c r="A15" t="b">
        <v>0</v>
      </c>
      <c r="B15" t="str">
        <v>DM-10</v>
      </c>
      <c r="C15" t="str">
        <v>行銷研究</v>
      </c>
      <c r="D15" t="str">
        <v>企業管理系</v>
      </c>
      <c r="E15" t="str">
        <v>選修</v>
      </c>
      <c r="F15">
        <v>2</v>
      </c>
      <c r="G15" t="str">
        <v>依學期開設</v>
      </c>
      <c r="H15" t="str">
        <v>外系/跨系</v>
      </c>
      <c r="I15" t="str">
        <v>專業選修</v>
      </c>
    </row>
    <row r="16">
      <c r="A16" t="b">
        <v>0</v>
      </c>
      <c r="B16" t="str">
        <v>DM-11</v>
      </c>
      <c r="C16" t="str">
        <v>多媒體網頁設計</v>
      </c>
      <c r="D16" t="str">
        <v>企業管理系</v>
      </c>
      <c r="E16" t="str">
        <v>選修</v>
      </c>
      <c r="F16">
        <v>2</v>
      </c>
      <c r="G16" t="str">
        <v>依學期開設</v>
      </c>
      <c r="H16" t="str">
        <v>外系/跨系</v>
      </c>
      <c r="I16" t="str">
        <v>專業選修</v>
      </c>
    </row>
    <row r="17">
      <c r="A17" t="b">
        <v>0</v>
      </c>
      <c r="B17" t="str">
        <v>DM-12</v>
      </c>
      <c r="C17" t="str">
        <v>行動商務應用</v>
      </c>
      <c r="D17" t="str">
        <v>資訊管理系</v>
      </c>
      <c r="E17" t="str">
        <v>選修</v>
      </c>
      <c r="F17">
        <v>3</v>
      </c>
      <c r="G17" t="str">
        <v>依學期開設</v>
      </c>
      <c r="H17" t="str">
        <v>本系 (資管)</v>
      </c>
      <c r="I17" t="str">
        <v>專業選修</v>
      </c>
    </row>
    <row r="18">
      <c r="A18" t="b">
        <v>0</v>
      </c>
      <c r="B18" t="str">
        <v>DM-13</v>
      </c>
      <c r="C18" t="str">
        <v>網路商城經營管理實務</v>
      </c>
      <c r="D18" t="str">
        <v>資訊管理系</v>
      </c>
      <c r="E18" t="str">
        <v>選修</v>
      </c>
      <c r="F18">
        <v>3</v>
      </c>
      <c r="G18" t="str">
        <v>依學期開設</v>
      </c>
      <c r="H18" t="str">
        <v>本系 (資管)</v>
      </c>
      <c r="I18" t="str">
        <v>專業選修</v>
      </c>
    </row>
    <row r="19">
      <c r="A19" t="b">
        <v>0</v>
      </c>
      <c r="B19" t="str">
        <v>DM-14</v>
      </c>
      <c r="C19" t="str">
        <v>多媒體應用</v>
      </c>
      <c r="D19" t="str">
        <v>資訊管理系</v>
      </c>
      <c r="E19" t="str">
        <v>選修</v>
      </c>
      <c r="F19">
        <v>3</v>
      </c>
      <c r="G19" t="str">
        <v>依學期開設</v>
      </c>
      <c r="H19" t="str">
        <v>本系 (資管)</v>
      </c>
      <c r="I19" t="str">
        <v>專業選修</v>
      </c>
    </row>
    <row r="20">
      <c r="A20" t="b">
        <v>0</v>
      </c>
      <c r="B20" t="str">
        <v>DM-15</v>
      </c>
      <c r="C20" t="str">
        <v>網頁程式設計</v>
      </c>
      <c r="D20" t="str">
        <v>國際商務系</v>
      </c>
      <c r="E20" t="str">
        <v>選修</v>
      </c>
      <c r="F20">
        <v>3</v>
      </c>
      <c r="G20" t="str">
        <v>依學期開設</v>
      </c>
      <c r="H20" t="str">
        <v>外系/跨系</v>
      </c>
      <c r="I20" t="str">
        <v>專業選修</v>
      </c>
    </row>
    <row r="21">
      <c r="A21" t="b">
        <v>0</v>
      </c>
      <c r="B21" t="str">
        <v>DM-16</v>
      </c>
      <c r="C21" t="str">
        <v>網頁與多媒體製作</v>
      </c>
      <c r="D21" t="str">
        <v>應用外語系</v>
      </c>
      <c r="E21" t="str">
        <v>選修</v>
      </c>
      <c r="F21">
        <v>2</v>
      </c>
      <c r="G21" t="str">
        <v>依學期開設</v>
      </c>
      <c r="H21" t="str">
        <v>外系/跨系</v>
      </c>
      <c r="I21" t="str">
        <v>專業選修</v>
      </c>
    </row>
    <row r="22">
      <c r="A22" t="b">
        <v>0</v>
      </c>
      <c r="B22" t="str">
        <v>DM-17</v>
      </c>
      <c r="C22" t="str">
        <v>網路行銷</v>
      </c>
      <c r="D22" t="str">
        <v>應用外語系 / 國際商務系</v>
      </c>
      <c r="E22" t="str">
        <v>選修</v>
      </c>
      <c r="F22">
        <v>2</v>
      </c>
      <c r="G22" t="str">
        <v>依學期開設</v>
      </c>
      <c r="H22" t="str">
        <v>外系/跨系</v>
      </c>
      <c r="I22" t="str">
        <v>專業選修</v>
      </c>
    </row>
    <row r="23">
      <c r="A23" t="b">
        <v>0</v>
      </c>
      <c r="B23" t="str">
        <v>DM-18</v>
      </c>
      <c r="C23" t="str">
        <v>電子商務</v>
      </c>
      <c r="D23" t="str">
        <v>會計資訊系 / 國際商務系</v>
      </c>
      <c r="E23" t="str">
        <v>選修</v>
      </c>
      <c r="F23">
        <v>2</v>
      </c>
      <c r="G23" t="str">
        <v>依學期開設</v>
      </c>
      <c r="H23" t="str">
        <v>外系/跨系</v>
      </c>
      <c r="I23" t="str">
        <v>專業選修</v>
      </c>
    </row>
    <row r="25">
      <c r="A25" t="str">
        <v>--- 學程試算統計加總列 ---</v>
      </c>
    </row>
    <row r="26">
      <c r="A26" t="str">
        <v>已修畢總學分</v>
      </c>
      <c r="B26" t="str">
        <v/>
      </c>
      <c r="C26" t="str">
        <v/>
      </c>
      <c r="D26" t="str">
        <v/>
      </c>
      <c r="E26" t="str">
        <v/>
      </c>
      <c r="F26">
        <f>=SUMIF(A6:A23, TRUE, F6:F23)</f>
      </c>
      <c r="G26" t="str">
        <v/>
      </c>
      <c r="H26" t="str">
        <v>門檻標準: 15 學分</v>
      </c>
    </row>
    <row r="27">
      <c r="A27" t="str">
        <v>核心必修學分</v>
      </c>
      <c r="B27" t="str">
        <v/>
      </c>
      <c r="C27" t="str">
        <v/>
      </c>
      <c r="D27" t="str">
        <v/>
      </c>
      <c r="E27" t="str">
        <v/>
      </c>
      <c r="F27">
        <f>=SUMIFS(F6:F23, A6:A23, TRUE, E6:E23, "必修")</f>
      </c>
      <c r="G27" t="str">
        <v/>
      </c>
      <c r="H27" t="str">
        <v>必修門檻: 2 學分</v>
      </c>
    </row>
    <row r="28">
      <c r="A28" t="str">
        <v>專業選修學分</v>
      </c>
      <c r="B28" t="str">
        <v/>
      </c>
      <c r="C28" t="str">
        <v/>
      </c>
      <c r="D28" t="str">
        <v/>
      </c>
      <c r="E28" t="str">
        <v/>
      </c>
      <c r="F28">
        <f>=SUMIFS(F6:F23, A6:A23, TRUE, E6:E23, "選修")</f>
      </c>
      <c r="G28" t="str">
        <v/>
      </c>
      <c r="H28" t="str">
        <v>選修門檻: 13 學分</v>
      </c>
    </row>
    <row r="29">
      <c r="A29" t="str">
        <v>本系修課學分</v>
      </c>
      <c r="B29" t="str">
        <v/>
      </c>
      <c r="C29" t="str">
        <v/>
      </c>
      <c r="D29" t="str">
        <v/>
      </c>
      <c r="E29" t="str">
        <v/>
      </c>
      <c r="F29">
        <f>=SUMIFS(F6:F23, A6:A23, TRUE, H6:H23, "本系 (資管)")</f>
      </c>
    </row>
    <row r="30">
      <c r="A30" t="str">
        <v>跨系修課門數</v>
      </c>
      <c r="B30" t="str">
        <v/>
      </c>
      <c r="C30" t="str">
        <v/>
      </c>
      <c r="D30" t="str">
        <v/>
      </c>
      <c r="E30" t="str">
        <v/>
      </c>
      <c r="F30">
        <f>=COUNTIFS(A6:A23, TRUE, H6:H23, "外系/跨系")</f>
      </c>
      <c r="G30" t="str">
        <v/>
      </c>
      <c r="H30" t="str">
        <v>跨系限制: 至少1門</v>
      </c>
    </row>
    <row r="31">
      <c r="A31" t="str">
        <v>證書取得資格</v>
      </c>
      <c r="B31" t="str">
        <v/>
      </c>
      <c r="C31" t="str">
        <v/>
      </c>
      <c r="D31" t="str">
        <v/>
      </c>
      <c r="E31" t="str">
        <v/>
      </c>
      <c r="F31">
        <f>=IF(AND(F26&gt;=15, F27&gt;=2, IF("true"="true", F30&gt;=1, TRUE)), "🟢 ✓ 符合資格 (可申請證書)", "🔴 尚未達標 (學分不足或缺跨系)")</f>
      </c>
    </row>
  </sheetData>
  <ignoredErrors>
    <ignoredError numberStoredAsText="1" sqref="A1:I31"/>
  </ignoredErrors>
</worksheet>
</file>

<file path=xl/worksheets/sheet8.xml><?xml version="1.0" encoding="utf-8"?>
<worksheet xmlns="http://schemas.openxmlformats.org/spreadsheetml/2006/main" xmlns:r="http://schemas.openxmlformats.org/officeDocument/2006/relationships">
  <dimension ref="A1:I26"/>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數位行銷與語言科技應用微學程 (微學程) 修業學分試算表</v>
      </c>
    </row>
    <row r="2">
      <c r="A2" t="str">
        <v>設置要點與門檻：總學分至少 8 學分，需至少跨修一門外系</v>
      </c>
    </row>
    <row r="3">
      <c r="A3" t="str">
        <v>規劃設置單位：國際行銷學院 ｜ 參與教學：國際商務系、應用外語系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DL-1</v>
      </c>
      <c r="C6" t="str">
        <v>數位行銷</v>
      </c>
      <c r="D6" t="str">
        <v>國際商務系</v>
      </c>
      <c r="E6" t="str">
        <v>選修</v>
      </c>
      <c r="F6">
        <v>2</v>
      </c>
      <c r="G6" t="str">
        <v>依學期開設</v>
      </c>
      <c r="H6" t="str">
        <v>外系/跨系</v>
      </c>
      <c r="I6" t="str">
        <v>核心必修</v>
      </c>
    </row>
    <row r="7">
      <c r="A7" t="b">
        <v>0</v>
      </c>
      <c r="B7" t="str">
        <v>DL-2</v>
      </c>
      <c r="C7" t="str">
        <v>網路行銷</v>
      </c>
      <c r="D7" t="str">
        <v>應用外語系</v>
      </c>
      <c r="E7" t="str">
        <v>選修</v>
      </c>
      <c r="F7">
        <v>2</v>
      </c>
      <c r="G7" t="str">
        <v>依學期開設</v>
      </c>
      <c r="H7" t="str">
        <v>外系/跨系</v>
      </c>
      <c r="I7" t="str">
        <v>核心必修</v>
      </c>
    </row>
    <row r="8">
      <c r="A8" t="b">
        <v>0</v>
      </c>
      <c r="B8" t="str">
        <v>DL-3</v>
      </c>
      <c r="C8" t="str">
        <v>基礎程式設計</v>
      </c>
      <c r="D8" t="str">
        <v>應用外語系</v>
      </c>
      <c r="E8" t="str">
        <v>選修</v>
      </c>
      <c r="F8">
        <v>2</v>
      </c>
      <c r="G8" t="str">
        <v>依學期開設</v>
      </c>
      <c r="H8" t="str">
        <v>外系/跨系</v>
      </c>
      <c r="I8" t="str">
        <v>進階專業</v>
      </c>
    </row>
    <row r="9">
      <c r="A9" t="b">
        <v>0</v>
      </c>
      <c r="B9" t="str">
        <v>DL-4</v>
      </c>
      <c r="C9" t="str">
        <v>程式設計</v>
      </c>
      <c r="D9" t="str">
        <v>國際商務系</v>
      </c>
      <c r="E9" t="str">
        <v>選修</v>
      </c>
      <c r="F9">
        <v>3</v>
      </c>
      <c r="G9" t="str">
        <v>依學期開設</v>
      </c>
      <c r="H9" t="str">
        <v>外系/跨系</v>
      </c>
      <c r="I9" t="str">
        <v>進階專業</v>
      </c>
    </row>
    <row r="10">
      <c r="A10" t="b">
        <v>0</v>
      </c>
      <c r="B10" t="str">
        <v>DL-5</v>
      </c>
      <c r="C10" t="str">
        <v>數位教材與教法</v>
      </c>
      <c r="D10" t="str">
        <v>應用外語系</v>
      </c>
      <c r="E10" t="str">
        <v>選修</v>
      </c>
      <c r="F10">
        <v>2</v>
      </c>
      <c r="G10" t="str">
        <v>依學期開設</v>
      </c>
      <c r="H10" t="str">
        <v>外系/跨系</v>
      </c>
      <c r="I10" t="str">
        <v>進階專業</v>
      </c>
    </row>
    <row r="11">
      <c r="A11" t="b">
        <v>0</v>
      </c>
      <c r="B11" t="str">
        <v>DL-6</v>
      </c>
      <c r="C11" t="str">
        <v>AI與法律翻譯 / AI輔助法律翻譯入門</v>
      </c>
      <c r="D11" t="str">
        <v>應用外語系</v>
      </c>
      <c r="E11" t="str">
        <v>選修</v>
      </c>
      <c r="F11">
        <v>2</v>
      </c>
      <c r="G11" t="str">
        <v>依學期開設</v>
      </c>
      <c r="H11" t="str">
        <v>外系/跨系</v>
      </c>
      <c r="I11" t="str">
        <v>進階專業</v>
      </c>
    </row>
    <row r="12">
      <c r="A12" t="b">
        <v>0</v>
      </c>
      <c r="B12" t="str">
        <v>DL-7</v>
      </c>
      <c r="C12" t="str">
        <v>AI 輔助文化與社會探究</v>
      </c>
      <c r="D12" t="str">
        <v>應用外語系</v>
      </c>
      <c r="E12" t="str">
        <v>選修</v>
      </c>
      <c r="F12">
        <v>2</v>
      </c>
      <c r="G12" t="str">
        <v>依學期開設</v>
      </c>
      <c r="H12" t="str">
        <v>外系/跨系</v>
      </c>
      <c r="I12" t="str">
        <v>進階專業</v>
      </c>
    </row>
    <row r="13">
      <c r="A13" t="b">
        <v>0</v>
      </c>
      <c r="B13" t="str">
        <v>DL-8</v>
      </c>
      <c r="C13" t="str">
        <v>電腦多媒體設計</v>
      </c>
      <c r="D13" t="str">
        <v>國際商務系</v>
      </c>
      <c r="E13" t="str">
        <v>選修</v>
      </c>
      <c r="F13">
        <v>2</v>
      </c>
      <c r="G13" t="str">
        <v>依學期開設</v>
      </c>
      <c r="H13" t="str">
        <v>外系/跨系</v>
      </c>
      <c r="I13" t="str">
        <v>進階專業</v>
      </c>
    </row>
    <row r="14">
      <c r="A14" t="b">
        <v>0</v>
      </c>
      <c r="B14" t="str">
        <v>DL-9</v>
      </c>
      <c r="C14" t="str">
        <v>網頁與多媒體製作</v>
      </c>
      <c r="D14" t="str">
        <v>應用外語系</v>
      </c>
      <c r="E14" t="str">
        <v>選修</v>
      </c>
      <c r="F14">
        <v>2</v>
      </c>
      <c r="G14" t="str">
        <v>依學期開設</v>
      </c>
      <c r="H14" t="str">
        <v>外系/跨系</v>
      </c>
      <c r="I14" t="str">
        <v>進階專業</v>
      </c>
    </row>
    <row r="15">
      <c r="A15" t="b">
        <v>0</v>
      </c>
      <c r="B15" t="str">
        <v>DL-10</v>
      </c>
      <c r="C15" t="str">
        <v>多媒體製作與中英文簡報技巧</v>
      </c>
      <c r="D15" t="str">
        <v>國際商務系</v>
      </c>
      <c r="E15" t="str">
        <v>選修</v>
      </c>
      <c r="F15">
        <v>2</v>
      </c>
      <c r="G15" t="str">
        <v>依學期開設</v>
      </c>
      <c r="H15" t="str">
        <v>外系/跨系</v>
      </c>
      <c r="I15" t="str">
        <v>進階專業</v>
      </c>
    </row>
    <row r="16">
      <c r="A16" t="b">
        <v>0</v>
      </c>
      <c r="B16" t="str">
        <v>DL-11</v>
      </c>
      <c r="C16" t="str">
        <v>貿易資訊與通關自動化</v>
      </c>
      <c r="D16" t="str">
        <v>國際商務系</v>
      </c>
      <c r="E16" t="str">
        <v>選修</v>
      </c>
      <c r="F16">
        <v>2</v>
      </c>
      <c r="G16" t="str">
        <v>依學期開設</v>
      </c>
      <c r="H16" t="str">
        <v>外系/跨系</v>
      </c>
      <c r="I16" t="str">
        <v>進階專業</v>
      </c>
    </row>
    <row r="17">
      <c r="A17" t="b">
        <v>0</v>
      </c>
      <c r="B17" t="str">
        <v>DL-12</v>
      </c>
      <c r="C17" t="str">
        <v>跨境電子商務</v>
      </c>
      <c r="D17" t="str">
        <v>國際商務系</v>
      </c>
      <c r="E17" t="str">
        <v>選修</v>
      </c>
      <c r="F17">
        <v>2</v>
      </c>
      <c r="G17" t="str">
        <v>依學期開設</v>
      </c>
      <c r="H17" t="str">
        <v>外系/跨系</v>
      </c>
      <c r="I17" t="str">
        <v>進階專業</v>
      </c>
    </row>
    <row r="18">
      <c r="A18" t="b">
        <v>0</v>
      </c>
      <c r="B18" t="str">
        <v>DL-13</v>
      </c>
      <c r="C18" t="str">
        <v>人工智慧(上)/(下)</v>
      </c>
      <c r="D18" t="str">
        <v>國際商務系</v>
      </c>
      <c r="E18" t="str">
        <v>選修</v>
      </c>
      <c r="F18">
        <v>2</v>
      </c>
      <c r="G18" t="str">
        <v>依學期開設</v>
      </c>
      <c r="H18" t="str">
        <v>外系/跨系</v>
      </c>
      <c r="I18" t="str">
        <v>進階專業</v>
      </c>
    </row>
    <row r="20">
      <c r="A20" t="str">
        <v>--- 學程試算統計加總列 ---</v>
      </c>
    </row>
    <row r="21">
      <c r="A21" t="str">
        <v>已修畢總學分</v>
      </c>
      <c r="B21" t="str">
        <v/>
      </c>
      <c r="C21" t="str">
        <v/>
      </c>
      <c r="D21" t="str">
        <v/>
      </c>
      <c r="E21" t="str">
        <v/>
      </c>
      <c r="F21">
        <f>=SUMIF(A6:A18, TRUE, F6:F18)</f>
      </c>
      <c r="G21" t="str">
        <v/>
      </c>
      <c r="H21" t="str">
        <v>門檻標準: 8 學分</v>
      </c>
    </row>
    <row r="22">
      <c r="A22" t="str">
        <v>核心必修學分</v>
      </c>
      <c r="B22" t="str">
        <v/>
      </c>
      <c r="C22" t="str">
        <v/>
      </c>
      <c r="D22" t="str">
        <v/>
      </c>
      <c r="E22" t="str">
        <v/>
      </c>
      <c r="F22">
        <f>=SUMIFS(F6:F18, A6:A18, TRUE, E6:E18, "必修")</f>
      </c>
      <c r="G22" t="str">
        <v/>
      </c>
      <c r="H22" t="str">
        <v>必修門檻: 0 學分</v>
      </c>
    </row>
    <row r="23">
      <c r="A23" t="str">
        <v>專業選修學分</v>
      </c>
      <c r="B23" t="str">
        <v/>
      </c>
      <c r="C23" t="str">
        <v/>
      </c>
      <c r="D23" t="str">
        <v/>
      </c>
      <c r="E23" t="str">
        <v/>
      </c>
      <c r="F23">
        <f>=SUMIFS(F6:F18, A6:A18, TRUE, E6:E18, "選修")</f>
      </c>
      <c r="G23" t="str">
        <v/>
      </c>
      <c r="H23" t="str">
        <v>選修門檻: 0 學分</v>
      </c>
    </row>
    <row r="24">
      <c r="A24" t="str">
        <v>本系修課學分</v>
      </c>
      <c r="B24" t="str">
        <v/>
      </c>
      <c r="C24" t="str">
        <v/>
      </c>
      <c r="D24" t="str">
        <v/>
      </c>
      <c r="E24" t="str">
        <v/>
      </c>
      <c r="F24">
        <f>=SUMIFS(F6:F18, A6:A18, TRUE, H6:H18, "本系 (資管)")</f>
      </c>
    </row>
    <row r="25">
      <c r="A25" t="str">
        <v>跨系修課門數</v>
      </c>
      <c r="B25" t="str">
        <v/>
      </c>
      <c r="C25" t="str">
        <v/>
      </c>
      <c r="D25" t="str">
        <v/>
      </c>
      <c r="E25" t="str">
        <v/>
      </c>
      <c r="F25">
        <f>=COUNTIFS(A6:A18, TRUE, H6:H18, "外系/跨系")</f>
      </c>
      <c r="G25" t="str">
        <v/>
      </c>
      <c r="H25" t="str">
        <v>跨系限制: 至少1門</v>
      </c>
    </row>
    <row r="26">
      <c r="A26" t="str">
        <v>證書取得資格</v>
      </c>
      <c r="B26" t="str">
        <v/>
      </c>
      <c r="C26" t="str">
        <v/>
      </c>
      <c r="D26" t="str">
        <v/>
      </c>
      <c r="E26" t="str">
        <v/>
      </c>
      <c r="F26">
        <f>=IF(AND(F21&gt;=8, F22&gt;=0, IF("true"="true", F25&gt;=1, TRUE)), "🟢 ✓ 符合資格 (可申請證書)", "🔴 尚未達標 (學分不足或缺跨系)")</f>
      </c>
    </row>
  </sheetData>
  <ignoredErrors>
    <ignoredError numberStoredAsText="1" sqref="A1:I26"/>
  </ignoredErrors>
</worksheet>
</file>

<file path=xl/worksheets/sheet9.xml><?xml version="1.0" encoding="utf-8"?>
<worksheet xmlns="http://schemas.openxmlformats.org/spreadsheetml/2006/main" xmlns:r="http://schemas.openxmlformats.org/officeDocument/2006/relationships">
  <dimension ref="A1:I34"/>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數據分析與視覺化微學程 (微學程) 修業學分試算表</v>
      </c>
    </row>
    <row r="2">
      <c r="A2" t="str">
        <v>設置要點與門檻：總學分至少 8 學分，需至少跨修一門外系</v>
      </c>
    </row>
    <row r="3">
      <c r="A3" t="str">
        <v>規劃設置單位：資訊管理系 ｜ 參與教學：資訊管理系、會計資訊系、財務金融系、創意科技與產品設計系、資訊與決策科學研究所</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DA-1</v>
      </c>
      <c r="C6" t="str">
        <v>資料處理 / 數位化資料處理</v>
      </c>
      <c r="D6" t="str">
        <v>本校各系</v>
      </c>
      <c r="E6" t="str">
        <v>選修</v>
      </c>
      <c r="F6">
        <v>3</v>
      </c>
      <c r="G6" t="str">
        <v>依學期開設</v>
      </c>
      <c r="H6" t="str">
        <v>外系/跨系</v>
      </c>
      <c r="I6" t="str">
        <v>專業選修</v>
      </c>
    </row>
    <row r="7">
      <c r="A7" t="b">
        <v>0</v>
      </c>
      <c r="B7" t="str">
        <v>DA-2</v>
      </c>
      <c r="C7" t="str">
        <v>商業套裝軟體 / 商業軟體應用</v>
      </c>
      <c r="D7" t="str">
        <v>本校各系</v>
      </c>
      <c r="E7" t="str">
        <v>選修</v>
      </c>
      <c r="F7">
        <v>3</v>
      </c>
      <c r="G7" t="str">
        <v>依學期開設</v>
      </c>
      <c r="H7" t="str">
        <v>外系/跨系</v>
      </c>
      <c r="I7" t="str">
        <v>專業選修</v>
      </c>
    </row>
    <row r="8">
      <c r="A8" t="b">
        <v>0</v>
      </c>
      <c r="B8" t="str">
        <v>DA-3</v>
      </c>
      <c r="C8" t="str">
        <v>Python 程式設計（內容需為 Python 或 R 語言或 excel 應用或統計軟體）</v>
      </c>
      <c r="D8" t="str">
        <v>本校各系</v>
      </c>
      <c r="E8" t="str">
        <v>選修</v>
      </c>
      <c r="F8">
        <v>3</v>
      </c>
      <c r="G8" t="str">
        <v>依學期開設</v>
      </c>
      <c r="H8" t="str">
        <v>外系/跨系</v>
      </c>
      <c r="I8" t="str">
        <v>專業選修</v>
      </c>
    </row>
    <row r="9">
      <c r="A9" t="b">
        <v>0</v>
      </c>
      <c r="B9" t="str">
        <v>DA-4</v>
      </c>
      <c r="C9" t="str">
        <v>資料庫基礎應用</v>
      </c>
      <c r="D9" t="str">
        <v>本校各系</v>
      </c>
      <c r="E9" t="str">
        <v>選修</v>
      </c>
      <c r="F9">
        <v>2</v>
      </c>
      <c r="G9" t="str">
        <v>依學期開設</v>
      </c>
      <c r="H9" t="str">
        <v>外系/跨系</v>
      </c>
      <c r="I9" t="str">
        <v>專業選修</v>
      </c>
    </row>
    <row r="10">
      <c r="A10" t="b">
        <v>0</v>
      </c>
      <c r="B10" t="str">
        <v>DA-5</v>
      </c>
      <c r="C10" t="str">
        <v>資料庫管理</v>
      </c>
      <c r="D10" t="str">
        <v>本校各系</v>
      </c>
      <c r="E10" t="str">
        <v>選修</v>
      </c>
      <c r="F10">
        <v>2</v>
      </c>
      <c r="G10" t="str">
        <v>依學期開設</v>
      </c>
      <c r="H10" t="str">
        <v>外系/跨系</v>
      </c>
      <c r="I10" t="str">
        <v>專業選修</v>
      </c>
    </row>
    <row r="11">
      <c r="A11" t="b">
        <v>0</v>
      </c>
      <c r="B11" t="str">
        <v>DA-6</v>
      </c>
      <c r="C11" t="str">
        <v>資料庫管理系統實作</v>
      </c>
      <c r="D11" t="str">
        <v>本校各系</v>
      </c>
      <c r="E11" t="str">
        <v>選修</v>
      </c>
      <c r="F11">
        <v>2</v>
      </c>
      <c r="G11" t="str">
        <v>依學期開設</v>
      </c>
      <c r="H11" t="str">
        <v>外系/跨系</v>
      </c>
      <c r="I11" t="str">
        <v>專業選修</v>
      </c>
    </row>
    <row r="12">
      <c r="A12" t="b">
        <v>0</v>
      </c>
      <c r="B12" t="str">
        <v>DA-7</v>
      </c>
      <c r="C12" t="str">
        <v>資料庫管理系統</v>
      </c>
      <c r="D12" t="str">
        <v>本校各系</v>
      </c>
      <c r="E12" t="str">
        <v>選修</v>
      </c>
      <c r="F12">
        <v>2</v>
      </c>
      <c r="G12" t="str">
        <v>依學期開設</v>
      </c>
      <c r="H12" t="str">
        <v>外系/跨系</v>
      </c>
      <c r="I12" t="str">
        <v>專業選修</v>
      </c>
    </row>
    <row r="13">
      <c r="A13" t="b">
        <v>0</v>
      </c>
      <c r="B13" t="str">
        <v>DA-8</v>
      </c>
      <c r="C13" t="str">
        <v>資料庫概論</v>
      </c>
      <c r="D13" t="str">
        <v>本校各系</v>
      </c>
      <c r="E13" t="str">
        <v>選修</v>
      </c>
      <c r="F13">
        <v>2</v>
      </c>
      <c r="G13" t="str">
        <v>依學期開設</v>
      </c>
      <c r="H13" t="str">
        <v>外系/跨系</v>
      </c>
      <c r="I13" t="str">
        <v>專業選修</v>
      </c>
    </row>
    <row r="14">
      <c r="A14" t="b">
        <v>0</v>
      </c>
      <c r="B14" t="str">
        <v>DA-9</v>
      </c>
      <c r="C14" t="str">
        <v>高等資料庫</v>
      </c>
      <c r="D14" t="str">
        <v>本校各系</v>
      </c>
      <c r="E14" t="str">
        <v>選修</v>
      </c>
      <c r="F14">
        <v>2</v>
      </c>
      <c r="G14" t="str">
        <v>依學期開設</v>
      </c>
      <c r="H14" t="str">
        <v>外系/跨系</v>
      </c>
      <c r="I14" t="str">
        <v>專業選修</v>
      </c>
    </row>
    <row r="15">
      <c r="A15" t="b">
        <v>0</v>
      </c>
      <c r="B15" t="str">
        <v>DA-10</v>
      </c>
      <c r="C15" t="str">
        <v>社群大數據分析</v>
      </c>
      <c r="D15" t="str">
        <v>本校各系</v>
      </c>
      <c r="E15" t="str">
        <v>選修</v>
      </c>
      <c r="F15">
        <v>3</v>
      </c>
      <c r="G15" t="str">
        <v>依學期開設</v>
      </c>
      <c r="H15" t="str">
        <v>外系/跨系</v>
      </c>
      <c r="I15" t="str">
        <v>專業選修</v>
      </c>
    </row>
    <row r="16">
      <c r="A16" t="b">
        <v>0</v>
      </c>
      <c r="B16" t="str">
        <v>DA-11</v>
      </c>
      <c r="C16" t="str">
        <v>商業數據分析</v>
      </c>
      <c r="D16" t="str">
        <v>資訊管理系 / 會計資訊系 / 財務金融系 / 資訊與決策科學研究所</v>
      </c>
      <c r="E16" t="str">
        <v>選修</v>
      </c>
      <c r="F16">
        <v>3</v>
      </c>
      <c r="G16" t="str">
        <v>依學期開設</v>
      </c>
      <c r="H16" t="str">
        <v>本系 (資管)</v>
      </c>
      <c r="I16" t="str">
        <v>專業選修</v>
      </c>
    </row>
    <row r="17">
      <c r="A17" t="b">
        <v>0</v>
      </c>
      <c r="B17" t="str">
        <v>DA-12</v>
      </c>
      <c r="C17" t="str">
        <v>資料探勘與大數據分析</v>
      </c>
      <c r="D17" t="str">
        <v>資訊管理系 / 會計資訊系 / 財務金融系 / 資訊與決策科學研究所</v>
      </c>
      <c r="E17" t="str">
        <v>選修</v>
      </c>
      <c r="F17">
        <v>3</v>
      </c>
      <c r="G17" t="str">
        <v>依學期開設</v>
      </c>
      <c r="H17" t="str">
        <v>本系 (資管)</v>
      </c>
      <c r="I17" t="str">
        <v>專業選修</v>
      </c>
    </row>
    <row r="18">
      <c r="A18" t="b">
        <v>0</v>
      </c>
      <c r="B18" t="str">
        <v>DA-13</v>
      </c>
      <c r="C18" t="str">
        <v>資料探勘</v>
      </c>
      <c r="D18" t="str">
        <v>資訊管理系 / 會計資訊系 / 創意科技與產品設計系</v>
      </c>
      <c r="E18" t="str">
        <v>選修</v>
      </c>
      <c r="F18">
        <v>3</v>
      </c>
      <c r="G18" t="str">
        <v>依學期開設</v>
      </c>
      <c r="H18" t="str">
        <v>本系 (資管)</v>
      </c>
      <c r="I18" t="str">
        <v>專業選修</v>
      </c>
    </row>
    <row r="19">
      <c r="A19" t="b">
        <v>0</v>
      </c>
      <c r="B19" t="str">
        <v>DA-14</v>
      </c>
      <c r="C19" t="str">
        <v>大數據分析與應用</v>
      </c>
      <c r="D19" t="str">
        <v>資訊管理系 / 會計資訊系 / 創意科技與產品設計系</v>
      </c>
      <c r="E19" t="str">
        <v>選修</v>
      </c>
      <c r="F19">
        <v>3</v>
      </c>
      <c r="G19" t="str">
        <v>依學期開設</v>
      </c>
      <c r="H19" t="str">
        <v>本系 (資管)</v>
      </c>
      <c r="I19" t="str">
        <v>專業選修</v>
      </c>
    </row>
    <row r="20">
      <c r="A20" t="b">
        <v>0</v>
      </c>
      <c r="B20" t="str">
        <v>DA-15</v>
      </c>
      <c r="C20" t="str">
        <v>資產管理大數據應用</v>
      </c>
      <c r="D20" t="str">
        <v>資訊管理系 / 會計資訊系 / 創意科技與產品設計系</v>
      </c>
      <c r="E20" t="str">
        <v>選修</v>
      </c>
      <c r="F20">
        <v>3</v>
      </c>
      <c r="G20" t="str">
        <v>依學期開設</v>
      </c>
      <c r="H20" t="str">
        <v>本系 (資管)</v>
      </c>
      <c r="I20" t="str">
        <v>專業選修</v>
      </c>
    </row>
    <row r="21">
      <c r="A21" t="b">
        <v>0</v>
      </c>
      <c r="B21" t="str">
        <v>DA-16</v>
      </c>
      <c r="C21" t="str">
        <v>資料可視化</v>
      </c>
      <c r="D21" t="str">
        <v>資訊管理系 / 會計資訊系 / 創意科技與產品設計系</v>
      </c>
      <c r="E21" t="str">
        <v>選修</v>
      </c>
      <c r="F21">
        <v>3</v>
      </c>
      <c r="G21" t="str">
        <v>依學期開設</v>
      </c>
      <c r="H21" t="str">
        <v>本系 (資管)</v>
      </c>
      <c r="I21" t="str">
        <v>專業選修</v>
      </c>
    </row>
    <row r="22">
      <c r="A22" t="b">
        <v>0</v>
      </c>
      <c r="B22" t="str">
        <v>DA-17</v>
      </c>
      <c r="C22" t="str">
        <v>視覺化資料分析</v>
      </c>
      <c r="D22" t="str">
        <v>資訊管理系 / 會計資訊系</v>
      </c>
      <c r="E22" t="str">
        <v>選修</v>
      </c>
      <c r="F22">
        <v>3</v>
      </c>
      <c r="G22" t="str">
        <v>依學期開設</v>
      </c>
      <c r="H22" t="str">
        <v>本系 (資管)</v>
      </c>
      <c r="I22" t="str">
        <v>專業選修</v>
      </c>
    </row>
    <row r="23">
      <c r="A23" t="b">
        <v>0</v>
      </c>
      <c r="B23" t="str">
        <v>DA-18</v>
      </c>
      <c r="C23" t="str">
        <v>資訊視覺化方法</v>
      </c>
      <c r="D23" t="str">
        <v>資訊管理系 / 會計資訊系</v>
      </c>
      <c r="E23" t="str">
        <v>選修</v>
      </c>
      <c r="F23">
        <v>3</v>
      </c>
      <c r="G23" t="str">
        <v>依學期開設</v>
      </c>
      <c r="H23" t="str">
        <v>本系 (資管)</v>
      </c>
      <c r="I23" t="str">
        <v>專業選修</v>
      </c>
    </row>
    <row r="24">
      <c r="A24" t="b">
        <v>0</v>
      </c>
      <c r="B24" t="str">
        <v>DA-19</v>
      </c>
      <c r="C24" t="str">
        <v>資訊視覺化設計</v>
      </c>
      <c r="D24" t="str">
        <v>資訊管理系 / 會計資訊系</v>
      </c>
      <c r="E24" t="str">
        <v>選修</v>
      </c>
      <c r="F24">
        <v>3</v>
      </c>
      <c r="G24" t="str">
        <v>依學期開設</v>
      </c>
      <c r="H24" t="str">
        <v>本系 (資管)</v>
      </c>
      <c r="I24" t="str">
        <v>專業選修</v>
      </c>
    </row>
    <row r="25">
      <c r="A25" t="b">
        <v>0</v>
      </c>
      <c r="B25" t="str">
        <v>DA-20</v>
      </c>
      <c r="C25" t="str">
        <v>數據處理與視覺化應用</v>
      </c>
      <c r="D25" t="str">
        <v>資訊管理系 / 會計資訊系</v>
      </c>
      <c r="E25" t="str">
        <v>選修</v>
      </c>
      <c r="F25">
        <v>3</v>
      </c>
      <c r="G25" t="str">
        <v>依學期開設</v>
      </c>
      <c r="H25" t="str">
        <v>本系 (資管)</v>
      </c>
      <c r="I25" t="str">
        <v>專業選修</v>
      </c>
    </row>
    <row r="26">
      <c r="A26" t="b">
        <v>0</v>
      </c>
      <c r="B26" t="str">
        <v>DA-21</v>
      </c>
      <c r="C26" t="str">
        <v>數據處理與電腦視覺化</v>
      </c>
      <c r="D26" t="str">
        <v>資訊管理系 / 會計資訊系</v>
      </c>
      <c r="E26" t="str">
        <v>選修</v>
      </c>
      <c r="F26">
        <v>3</v>
      </c>
      <c r="G26" t="str">
        <v>依學期開設</v>
      </c>
      <c r="H26" t="str">
        <v>本系 (資管)</v>
      </c>
      <c r="I26" t="str">
        <v>專業選修</v>
      </c>
    </row>
    <row r="28">
      <c r="A28" t="str">
        <v>--- 學程試算統計加總列 ---</v>
      </c>
    </row>
    <row r="29">
      <c r="A29" t="str">
        <v>已修畢總學分</v>
      </c>
      <c r="B29" t="str">
        <v/>
      </c>
      <c r="C29" t="str">
        <v/>
      </c>
      <c r="D29" t="str">
        <v/>
      </c>
      <c r="E29" t="str">
        <v/>
      </c>
      <c r="F29">
        <f>=SUMIF(A6:A26, TRUE, F6:F26)</f>
      </c>
      <c r="G29" t="str">
        <v/>
      </c>
      <c r="H29" t="str">
        <v>門檻標準: 8 學分</v>
      </c>
    </row>
    <row r="30">
      <c r="A30" t="str">
        <v>核心必修學分</v>
      </c>
      <c r="B30" t="str">
        <v/>
      </c>
      <c r="C30" t="str">
        <v/>
      </c>
      <c r="D30" t="str">
        <v/>
      </c>
      <c r="E30" t="str">
        <v/>
      </c>
      <c r="F30">
        <f>=SUMIFS(F6:F26, A6:A26, TRUE, E6:E26, "必修")</f>
      </c>
      <c r="G30" t="str">
        <v/>
      </c>
      <c r="H30" t="str">
        <v>必修門檻: 0 學分</v>
      </c>
    </row>
    <row r="31">
      <c r="A31" t="str">
        <v>專業選修學分</v>
      </c>
      <c r="B31" t="str">
        <v/>
      </c>
      <c r="C31" t="str">
        <v/>
      </c>
      <c r="D31" t="str">
        <v/>
      </c>
      <c r="E31" t="str">
        <v/>
      </c>
      <c r="F31">
        <f>=SUMIFS(F6:F26, A6:A26, TRUE, E6:E26, "選修")</f>
      </c>
      <c r="G31" t="str">
        <v/>
      </c>
      <c r="H31" t="str">
        <v>選修門檻: 0 學分</v>
      </c>
    </row>
    <row r="32">
      <c r="A32" t="str">
        <v>本系修課學分</v>
      </c>
      <c r="B32" t="str">
        <v/>
      </c>
      <c r="C32" t="str">
        <v/>
      </c>
      <c r="D32" t="str">
        <v/>
      </c>
      <c r="E32" t="str">
        <v/>
      </c>
      <c r="F32">
        <f>=SUMIFS(F6:F26, A6:A26, TRUE, H6:H26, "本系 (資管)")</f>
      </c>
    </row>
    <row r="33">
      <c r="A33" t="str">
        <v>跨系修課門數</v>
      </c>
      <c r="B33" t="str">
        <v/>
      </c>
      <c r="C33" t="str">
        <v/>
      </c>
      <c r="D33" t="str">
        <v/>
      </c>
      <c r="E33" t="str">
        <v/>
      </c>
      <c r="F33">
        <f>=COUNTIFS(A6:A26, TRUE, H6:H26, "外系/跨系")</f>
      </c>
      <c r="G33" t="str">
        <v/>
      </c>
      <c r="H33" t="str">
        <v>跨系限制: 至少1門</v>
      </c>
    </row>
    <row r="34">
      <c r="A34" t="str">
        <v>證書取得資格</v>
      </c>
      <c r="B34" t="str">
        <v/>
      </c>
      <c r="C34" t="str">
        <v/>
      </c>
      <c r="D34" t="str">
        <v/>
      </c>
      <c r="E34" t="str">
        <v/>
      </c>
      <c r="F34">
        <f>=IF(AND(F29&gt;=8, F30&gt;=0, IF("true"="true", F33&gt;=1, TRUE)), "🟢 ✓ 符合資格 (可申請證書)", "🔴 尚未達標 (學分不足或缺跨系)")</f>
      </c>
    </row>
  </sheetData>
  <ignoredErrors>
    <ignoredError numberStoredAsText="1" sqref="A1:I34"/>
  </ignoredErrors>
</worksheet>
</file>

<file path=xl/worksheets/sheet10.xml><?xml version="1.0" encoding="utf-8"?>
<worksheet xmlns="http://schemas.openxmlformats.org/spreadsheetml/2006/main" xmlns:r="http://schemas.openxmlformats.org/officeDocument/2006/relationships">
  <dimension ref="A1:I27"/>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社群媒體行銷微學程 (微學程) 修業學分試算表</v>
      </c>
    </row>
    <row r="2">
      <c r="A2" t="str">
        <v>設置要點與門檻：總學分至少 12 學分，需至少跨修一門外系</v>
      </c>
    </row>
    <row r="3">
      <c r="A3" t="str">
        <v>規劃設置單位：創新設計與經營學院 ｜ 參與教學：商業設計管理系、數位多媒體設計系、創意科技與產品設計系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SM-1</v>
      </c>
      <c r="C6" t="str">
        <v>設計思考</v>
      </c>
      <c r="D6" t="str">
        <v>創新設計與經營學院</v>
      </c>
      <c r="E6" t="str">
        <v>選修</v>
      </c>
      <c r="F6">
        <v>3</v>
      </c>
      <c r="G6" t="str">
        <v>依學期開設</v>
      </c>
      <c r="H6" t="str">
        <v>外系/跨系</v>
      </c>
      <c r="I6" t="str">
        <v>核心必修</v>
      </c>
    </row>
    <row r="7">
      <c r="A7" t="b">
        <v>0</v>
      </c>
      <c r="B7" t="str">
        <v>SM-2</v>
      </c>
      <c r="C7" t="str">
        <v>行銷策略規劃</v>
      </c>
      <c r="D7" t="str">
        <v>商業設計管理系</v>
      </c>
      <c r="E7" t="str">
        <v>選修</v>
      </c>
      <c r="F7">
        <v>3</v>
      </c>
      <c r="G7" t="str">
        <v>依學期開設</v>
      </c>
      <c r="H7" t="str">
        <v>外系/跨系</v>
      </c>
      <c r="I7" t="str">
        <v>進階專業</v>
      </c>
    </row>
    <row r="8">
      <c r="A8" t="b">
        <v>0</v>
      </c>
      <c r="B8" t="str">
        <v>SM-3</v>
      </c>
      <c r="C8" t="str">
        <v>數位增長</v>
      </c>
      <c r="D8" t="str">
        <v>商業設計管理系</v>
      </c>
      <c r="E8" t="str">
        <v>選修</v>
      </c>
      <c r="F8">
        <v>3</v>
      </c>
      <c r="G8" t="str">
        <v>依學期開設</v>
      </c>
      <c r="H8" t="str">
        <v>外系/跨系</v>
      </c>
      <c r="I8" t="str">
        <v>進階專業</v>
      </c>
    </row>
    <row r="9">
      <c r="A9" t="b">
        <v>0</v>
      </c>
      <c r="B9" t="str">
        <v>SM-4</v>
      </c>
      <c r="C9" t="str">
        <v>品牌整合實務設計</v>
      </c>
      <c r="D9" t="str">
        <v>商業設計管理系</v>
      </c>
      <c r="E9" t="str">
        <v>選修</v>
      </c>
      <c r="F9">
        <v>3</v>
      </c>
      <c r="G9" t="str">
        <v>依學期開設</v>
      </c>
      <c r="H9" t="str">
        <v>外系/跨系</v>
      </c>
      <c r="I9" t="str">
        <v>進階專業</v>
      </c>
    </row>
    <row r="10">
      <c r="A10" t="b">
        <v>0</v>
      </c>
      <c r="B10" t="str">
        <v>SM-5</v>
      </c>
      <c r="C10" t="str">
        <v>創新創業新思維</v>
      </c>
      <c r="D10" t="str">
        <v>商業設計管理系</v>
      </c>
      <c r="E10" t="str">
        <v>選修</v>
      </c>
      <c r="F10">
        <v>3</v>
      </c>
      <c r="G10" t="str">
        <v>依學期開設</v>
      </c>
      <c r="H10" t="str">
        <v>外系/跨系</v>
      </c>
      <c r="I10" t="str">
        <v>進階專業</v>
      </c>
    </row>
    <row r="11">
      <c r="A11" t="b">
        <v>0</v>
      </c>
      <c r="B11" t="str">
        <v>SM-6</v>
      </c>
      <c r="C11" t="str">
        <v>影片後製作</v>
      </c>
      <c r="D11" t="str">
        <v>數位多媒體設計系</v>
      </c>
      <c r="E11" t="str">
        <v>選修</v>
      </c>
      <c r="F11">
        <v>3</v>
      </c>
      <c r="G11" t="str">
        <v>依學期開設</v>
      </c>
      <c r="H11" t="str">
        <v>外系/跨系</v>
      </c>
      <c r="I11" t="str">
        <v>進階專業</v>
      </c>
    </row>
    <row r="12">
      <c r="A12" t="b">
        <v>0</v>
      </c>
      <c r="B12" t="str">
        <v>SM-7</v>
      </c>
      <c r="C12" t="str">
        <v>音樂音效剪輯</v>
      </c>
      <c r="D12" t="str">
        <v>數位多媒體設計系</v>
      </c>
      <c r="E12" t="str">
        <v>選修</v>
      </c>
      <c r="F12">
        <v>3</v>
      </c>
      <c r="G12" t="str">
        <v>依學期開設</v>
      </c>
      <c r="H12" t="str">
        <v>外系/跨系</v>
      </c>
      <c r="I12" t="str">
        <v>進階專業</v>
      </c>
    </row>
    <row r="13">
      <c r="A13" t="b">
        <v>0</v>
      </c>
      <c r="B13" t="str">
        <v>SM-8</v>
      </c>
      <c r="C13" t="str">
        <v>虛擬網紅製作與商業應用</v>
      </c>
      <c r="D13" t="str">
        <v>數位多媒體設計系</v>
      </c>
      <c r="E13" t="str">
        <v>選修</v>
      </c>
      <c r="F13">
        <v>3</v>
      </c>
      <c r="G13" t="str">
        <v>依學期開設</v>
      </c>
      <c r="H13" t="str">
        <v>外系/跨系</v>
      </c>
      <c r="I13" t="str">
        <v>進階專業</v>
      </c>
    </row>
    <row r="14">
      <c r="A14" t="b">
        <v>0</v>
      </c>
      <c r="B14" t="str">
        <v>SM-9</v>
      </c>
      <c r="C14" t="str">
        <v>3D 虛擬人與動作捕捉</v>
      </c>
      <c r="D14" t="str">
        <v>數位多媒體設計系</v>
      </c>
      <c r="E14" t="str">
        <v>選修</v>
      </c>
      <c r="F14">
        <v>3</v>
      </c>
      <c r="G14" t="str">
        <v>依學期開設</v>
      </c>
      <c r="H14" t="str">
        <v>外系/跨系</v>
      </c>
      <c r="I14" t="str">
        <v>進階專業</v>
      </c>
    </row>
    <row r="15">
      <c r="A15" t="b">
        <v>0</v>
      </c>
      <c r="B15" t="str">
        <v>SM-10</v>
      </c>
      <c r="C15" t="str">
        <v>動態圖像設計</v>
      </c>
      <c r="D15" t="str">
        <v>數位多媒體設計系</v>
      </c>
      <c r="E15" t="str">
        <v>選修</v>
      </c>
      <c r="F15">
        <v>3</v>
      </c>
      <c r="G15" t="str">
        <v>依學期開設</v>
      </c>
      <c r="H15" t="str">
        <v>外系/跨系</v>
      </c>
      <c r="I15" t="str">
        <v>進階專業</v>
      </c>
    </row>
    <row r="16">
      <c r="A16" t="b">
        <v>0</v>
      </c>
      <c r="B16" t="str">
        <v>SM-11</v>
      </c>
      <c r="C16" t="str">
        <v>品牌設計與行銷</v>
      </c>
      <c r="D16" t="str">
        <v>創意科技與產品設計系</v>
      </c>
      <c r="E16" t="str">
        <v>選修</v>
      </c>
      <c r="F16">
        <v>3</v>
      </c>
      <c r="G16" t="str">
        <v>依學期開設</v>
      </c>
      <c r="H16" t="str">
        <v>外系/跨系</v>
      </c>
      <c r="I16" t="str">
        <v>進階專業</v>
      </c>
    </row>
    <row r="17">
      <c r="A17" t="b">
        <v>0</v>
      </c>
      <c r="B17" t="str">
        <v>SM-12</v>
      </c>
      <c r="C17" t="str">
        <v>創意科技程式應用</v>
      </c>
      <c r="D17" t="str">
        <v>創意科技與產品設計系</v>
      </c>
      <c r="E17" t="str">
        <v>選修</v>
      </c>
      <c r="F17">
        <v>3</v>
      </c>
      <c r="G17" t="str">
        <v>依學期開設</v>
      </c>
      <c r="H17" t="str">
        <v>外系/跨系</v>
      </c>
      <c r="I17" t="str">
        <v>進階專業</v>
      </c>
    </row>
    <row r="18">
      <c r="A18" t="b">
        <v>0</v>
      </c>
      <c r="B18" t="str">
        <v>SM-13</v>
      </c>
      <c r="C18" t="str">
        <v>故事行銷與表達</v>
      </c>
      <c r="D18" t="str">
        <v>創意科技與產品設計系</v>
      </c>
      <c r="E18" t="str">
        <v>選修</v>
      </c>
      <c r="F18">
        <v>2</v>
      </c>
      <c r="G18" t="str">
        <v>依學期開設</v>
      </c>
      <c r="H18" t="str">
        <v>外系/跨系</v>
      </c>
      <c r="I18" t="str">
        <v>進階專業</v>
      </c>
    </row>
    <row r="19">
      <c r="A19" t="b">
        <v>0</v>
      </c>
      <c r="B19" t="str">
        <v>SM-14</v>
      </c>
      <c r="C19" t="str">
        <v>互動數位敘事</v>
      </c>
      <c r="D19" t="str">
        <v>創意科技與產品設計系</v>
      </c>
      <c r="E19" t="str">
        <v>選修</v>
      </c>
      <c r="F19">
        <v>2</v>
      </c>
      <c r="G19" t="str">
        <v>依學期開設</v>
      </c>
      <c r="H19" t="str">
        <v>外系/跨系</v>
      </c>
      <c r="I19" t="str">
        <v>進階專業</v>
      </c>
    </row>
    <row r="21">
      <c r="A21" t="str">
        <v>--- 學程試算統計加總列 ---</v>
      </c>
    </row>
    <row r="22">
      <c r="A22" t="str">
        <v>已修畢總學分</v>
      </c>
      <c r="B22" t="str">
        <v/>
      </c>
      <c r="C22" t="str">
        <v/>
      </c>
      <c r="D22" t="str">
        <v/>
      </c>
      <c r="E22" t="str">
        <v/>
      </c>
      <c r="F22">
        <f>=SUMIF(A6:A19, TRUE, F6:F19)</f>
      </c>
      <c r="G22" t="str">
        <v/>
      </c>
      <c r="H22" t="str">
        <v>門檻標準: 12 學分</v>
      </c>
    </row>
    <row r="23">
      <c r="A23" t="str">
        <v>核心必修學分</v>
      </c>
      <c r="B23" t="str">
        <v/>
      </c>
      <c r="C23" t="str">
        <v/>
      </c>
      <c r="D23" t="str">
        <v/>
      </c>
      <c r="E23" t="str">
        <v/>
      </c>
      <c r="F23">
        <f>=SUMIFS(F6:F19, A6:A19, TRUE, E6:E19, "必修")</f>
      </c>
      <c r="G23" t="str">
        <v/>
      </c>
      <c r="H23" t="str">
        <v>必修門檻: 0 學分</v>
      </c>
    </row>
    <row r="24">
      <c r="A24" t="str">
        <v>專業選修學分</v>
      </c>
      <c r="B24" t="str">
        <v/>
      </c>
      <c r="C24" t="str">
        <v/>
      </c>
      <c r="D24" t="str">
        <v/>
      </c>
      <c r="E24" t="str">
        <v/>
      </c>
      <c r="F24">
        <f>=SUMIFS(F6:F19, A6:A19, TRUE, E6:E19, "選修")</f>
      </c>
      <c r="G24" t="str">
        <v/>
      </c>
      <c r="H24" t="str">
        <v>選修門檻: 0 學分</v>
      </c>
    </row>
    <row r="25">
      <c r="A25" t="str">
        <v>本系修課學分</v>
      </c>
      <c r="B25" t="str">
        <v/>
      </c>
      <c r="C25" t="str">
        <v/>
      </c>
      <c r="D25" t="str">
        <v/>
      </c>
      <c r="E25" t="str">
        <v/>
      </c>
      <c r="F25">
        <f>=SUMIFS(F6:F19, A6:A19, TRUE, H6:H19, "本系 (資管)")</f>
      </c>
    </row>
    <row r="26">
      <c r="A26" t="str">
        <v>跨系修課門數</v>
      </c>
      <c r="B26" t="str">
        <v/>
      </c>
      <c r="C26" t="str">
        <v/>
      </c>
      <c r="D26" t="str">
        <v/>
      </c>
      <c r="E26" t="str">
        <v/>
      </c>
      <c r="F26">
        <f>=COUNTIFS(A6:A19, TRUE, H6:H19, "外系/跨系")</f>
      </c>
      <c r="G26" t="str">
        <v/>
      </c>
      <c r="H26" t="str">
        <v>跨系限制: 至少1門</v>
      </c>
    </row>
    <row r="27">
      <c r="A27" t="str">
        <v>證書取得資格</v>
      </c>
      <c r="B27" t="str">
        <v/>
      </c>
      <c r="C27" t="str">
        <v/>
      </c>
      <c r="D27" t="str">
        <v/>
      </c>
      <c r="E27" t="str">
        <v/>
      </c>
      <c r="F27">
        <f>=IF(AND(F22&gt;=12, F23&gt;=0, IF("true"="true", F26&gt;=1, TRUE)), "🟢 ✓ 符合資格 (可申請證書)", "🔴 尚未達標 (學分不足或缺跨系)")</f>
      </c>
    </row>
  </sheetData>
  <ignoredErrors>
    <ignoredError numberStoredAsText="1" sqref="A1:I27"/>
  </ignoredErrors>
</worksheet>
</file>

<file path=xl/worksheets/sheet11.xml><?xml version="1.0" encoding="utf-8"?>
<worksheet xmlns="http://schemas.openxmlformats.org/spreadsheetml/2006/main" xmlns:r="http://schemas.openxmlformats.org/officeDocument/2006/relationships">
  <dimension ref="A1:I31"/>
  <sheetViews>
    <sheetView workbookViewId="0"/>
  </sheetViews>
  <cols>
    <col min="1" max="1" width="18.83203125" customWidth="1"/>
    <col min="2" max="2" width="14.83203125" customWidth="1"/>
    <col min="3" max="3" width="32.83203125" customWidth="1"/>
    <col min="4" max="4" width="18.83203125" customWidth="1"/>
    <col min="5" max="5" width="10.83203125" customWidth="1"/>
    <col min="6" max="6" width="10.83203125" customWidth="1"/>
    <col min="7" max="7" width="14.83203125" customWidth="1"/>
    <col min="8" max="8" width="16.83203125" customWidth="1"/>
    <col min="9" max="9" width="25.83203125" customWidth="1"/>
  </cols>
  <sheetData>
    <row r="1">
      <c r="A1" t="str">
        <v>國立臺北商業大學 — 東亞語言與商務微學程 (微學程) 修業學分試算表</v>
      </c>
    </row>
    <row r="2">
      <c r="A2" t="str">
        <v>設置要點與門檻：總學分至少 8 學分，需至少跨修一門外系</v>
      </c>
    </row>
    <row r="3">
      <c r="A3" t="str">
        <v>規劃設置單位：國際商務系 ｜ 參與教學：國際商務系、應用外語系</v>
      </c>
    </row>
    <row r="5">
      <c r="A5" t="str">
        <v>修業狀態 (核取方塊)</v>
      </c>
      <c r="B5" t="str">
        <v>課程代碼</v>
      </c>
      <c r="C5" t="str">
        <v>課程名稱</v>
      </c>
      <c r="D5" t="str">
        <v>開課系所</v>
      </c>
      <c r="E5" t="str">
        <v>修別</v>
      </c>
      <c r="F5" t="str">
        <v>學分數</v>
      </c>
      <c r="G5" t="str">
        <v>開課學期</v>
      </c>
      <c r="H5" t="str">
        <v>本系/外系判定</v>
      </c>
      <c r="I5" t="str">
        <v>學程分類與備註</v>
      </c>
    </row>
    <row r="6">
      <c r="A6" t="b">
        <v>0</v>
      </c>
      <c r="B6" t="str">
        <v>EA-1</v>
      </c>
      <c r="C6" t="str">
        <v>日語(一)(二)(三)(四)</v>
      </c>
      <c r="D6" t="str">
        <v>國際商務系 / 應用外語系</v>
      </c>
      <c r="E6" t="str">
        <v>選修</v>
      </c>
      <c r="F6">
        <v>2</v>
      </c>
      <c r="G6" t="str">
        <v>依學期開設</v>
      </c>
      <c r="H6" t="str">
        <v>外系/跨系</v>
      </c>
      <c r="I6" t="str">
        <v>核心必修</v>
      </c>
    </row>
    <row r="7">
      <c r="A7" t="b">
        <v>0</v>
      </c>
      <c r="B7" t="str">
        <v>EA-2</v>
      </c>
      <c r="C7" t="str">
        <v>日語字彙與會話</v>
      </c>
      <c r="D7" t="str">
        <v>應用外語系</v>
      </c>
      <c r="E7" t="str">
        <v>選修</v>
      </c>
      <c r="F7">
        <v>2</v>
      </c>
      <c r="G7" t="str">
        <v>依學期開設</v>
      </c>
      <c r="H7" t="str">
        <v>外系/跨系</v>
      </c>
      <c r="I7" t="str">
        <v>核心必修</v>
      </c>
    </row>
    <row r="8">
      <c r="A8" t="b">
        <v>0</v>
      </c>
      <c r="B8" t="str">
        <v>EA-3</v>
      </c>
      <c r="C8" t="str">
        <v>日語閱讀與文法</v>
      </c>
      <c r="D8" t="str">
        <v>應用外語系</v>
      </c>
      <c r="E8" t="str">
        <v>選修</v>
      </c>
      <c r="F8">
        <v>2</v>
      </c>
      <c r="G8" t="str">
        <v>依學期開設</v>
      </c>
      <c r="H8" t="str">
        <v>外系/跨系</v>
      </c>
      <c r="I8" t="str">
        <v>核心必修</v>
      </c>
    </row>
    <row r="9">
      <c r="A9" t="b">
        <v>0</v>
      </c>
      <c r="B9" t="str">
        <v>EA-4</v>
      </c>
      <c r="C9" t="str">
        <v>日語寫作與翻譯</v>
      </c>
      <c r="D9" t="str">
        <v>應用外語系</v>
      </c>
      <c r="E9" t="str">
        <v>選修</v>
      </c>
      <c r="F9">
        <v>2</v>
      </c>
      <c r="G9" t="str">
        <v>依學期開設</v>
      </c>
      <c r="H9" t="str">
        <v>外系/跨系</v>
      </c>
      <c r="I9" t="str">
        <v>核心必修</v>
      </c>
    </row>
    <row r="10">
      <c r="A10" t="b">
        <v>0</v>
      </c>
      <c r="B10" t="str">
        <v>EA-5</v>
      </c>
      <c r="C10" t="str">
        <v>韓語(一)(二)(三)(四)</v>
      </c>
      <c r="D10" t="str">
        <v>國際商務系</v>
      </c>
      <c r="E10" t="str">
        <v>選修</v>
      </c>
      <c r="F10">
        <v>2</v>
      </c>
      <c r="G10" t="str">
        <v>依學期開設</v>
      </c>
      <c r="H10" t="str">
        <v>外系/跨系</v>
      </c>
      <c r="I10" t="str">
        <v>核心必修</v>
      </c>
    </row>
    <row r="11">
      <c r="A11" t="b">
        <v>0</v>
      </c>
      <c r="B11" t="str">
        <v>EA-6</v>
      </c>
      <c r="C11" t="str">
        <v>實用韓語</v>
      </c>
      <c r="D11" t="str">
        <v>應用外語系</v>
      </c>
      <c r="E11" t="str">
        <v>選修</v>
      </c>
      <c r="F11">
        <v>2</v>
      </c>
      <c r="G11" t="str">
        <v>依學期開設</v>
      </c>
      <c r="H11" t="str">
        <v>外系/跨系</v>
      </c>
      <c r="I11" t="str">
        <v>核心必修</v>
      </c>
    </row>
    <row r="12">
      <c r="A12" t="b">
        <v>0</v>
      </c>
      <c r="B12" t="str">
        <v>EA-7</v>
      </c>
      <c r="C12" t="str">
        <v>越南語(一)(二)</v>
      </c>
      <c r="D12" t="str">
        <v>國際商務系</v>
      </c>
      <c r="E12" t="str">
        <v>選修</v>
      </c>
      <c r="F12">
        <v>2</v>
      </c>
      <c r="G12" t="str">
        <v>依學期開設</v>
      </c>
      <c r="H12" t="str">
        <v>外系/跨系</v>
      </c>
      <c r="I12" t="str">
        <v>核心必修</v>
      </c>
    </row>
    <row r="13">
      <c r="A13" t="b">
        <v>0</v>
      </c>
      <c r="B13" t="str">
        <v>EA-8</v>
      </c>
      <c r="C13" t="str">
        <v>泰國語(一)(二)</v>
      </c>
      <c r="D13" t="str">
        <v>國際商務系</v>
      </c>
      <c r="E13" t="str">
        <v>選修</v>
      </c>
      <c r="F13">
        <v>2</v>
      </c>
      <c r="G13" t="str">
        <v>依學期開設</v>
      </c>
      <c r="H13" t="str">
        <v>外系/跨系</v>
      </c>
      <c r="I13" t="str">
        <v>核心必修</v>
      </c>
    </row>
    <row r="14">
      <c r="A14" t="b">
        <v>0</v>
      </c>
      <c r="B14" t="str">
        <v>EA-9</v>
      </c>
      <c r="C14" t="str">
        <v>現代商業導論與學習方法</v>
      </c>
      <c r="D14" t="str">
        <v>國際商務系 / 應用外語系</v>
      </c>
      <c r="E14" t="str">
        <v>選修</v>
      </c>
      <c r="F14">
        <v>2</v>
      </c>
      <c r="G14" t="str">
        <v>依學期開設</v>
      </c>
      <c r="H14" t="str">
        <v>外系/跨系</v>
      </c>
      <c r="I14" t="str">
        <v>進階專業</v>
      </c>
    </row>
    <row r="15">
      <c r="A15" t="b">
        <v>0</v>
      </c>
      <c r="B15" t="str">
        <v>EA-10</v>
      </c>
      <c r="C15" t="str">
        <v>國際行銷</v>
      </c>
      <c r="D15" t="str">
        <v>國際商務系 / 應用外語系</v>
      </c>
      <c r="E15" t="str">
        <v>選修</v>
      </c>
      <c r="F15">
        <v>2</v>
      </c>
      <c r="G15" t="str">
        <v>依學期開設</v>
      </c>
      <c r="H15" t="str">
        <v>外系/跨系</v>
      </c>
      <c r="I15" t="str">
        <v>進階專業</v>
      </c>
    </row>
    <row r="16">
      <c r="A16" t="b">
        <v>0</v>
      </c>
      <c r="B16" t="str">
        <v>EA-11</v>
      </c>
      <c r="C16" t="str">
        <v>全球運籌管理</v>
      </c>
      <c r="D16" t="str">
        <v>國際商務系</v>
      </c>
      <c r="E16" t="str">
        <v>選修</v>
      </c>
      <c r="F16">
        <v>2</v>
      </c>
      <c r="G16" t="str">
        <v>依學期開設</v>
      </c>
      <c r="H16" t="str">
        <v>外系/跨系</v>
      </c>
      <c r="I16" t="str">
        <v>進階專業</v>
      </c>
    </row>
    <row r="17">
      <c r="A17" t="b">
        <v>0</v>
      </c>
      <c r="B17" t="str">
        <v>EA-12</v>
      </c>
      <c r="C17" t="str">
        <v>國際經貿情勢分析</v>
      </c>
      <c r="D17" t="str">
        <v>國際商務系</v>
      </c>
      <c r="E17" t="str">
        <v>選修</v>
      </c>
      <c r="F17">
        <v>2</v>
      </c>
      <c r="G17" t="str">
        <v>依學期開設</v>
      </c>
      <c r="H17" t="str">
        <v>外系/跨系</v>
      </c>
      <c r="I17" t="str">
        <v>進階專業</v>
      </c>
    </row>
    <row r="18">
      <c r="A18" t="b">
        <v>0</v>
      </c>
      <c r="B18" t="str">
        <v>EA-13</v>
      </c>
      <c r="C18" t="str">
        <v>東南亞商務環境</v>
      </c>
      <c r="D18" t="str">
        <v>國際商務系</v>
      </c>
      <c r="E18" t="str">
        <v>選修</v>
      </c>
      <c r="F18">
        <v>2</v>
      </c>
      <c r="G18" t="str">
        <v>依學期開設</v>
      </c>
      <c r="H18" t="str">
        <v>外系/跨系</v>
      </c>
      <c r="I18" t="str">
        <v>進階專業</v>
      </c>
    </row>
    <row r="19">
      <c r="A19" t="b">
        <v>0</v>
      </c>
      <c r="B19" t="str">
        <v>EA-14</v>
      </c>
      <c r="C19" t="str">
        <v>跨文化商務溝通</v>
      </c>
      <c r="D19" t="str">
        <v>國際商務系</v>
      </c>
      <c r="E19" t="str">
        <v>選修</v>
      </c>
      <c r="F19">
        <v>2</v>
      </c>
      <c r="G19" t="str">
        <v>依學期開設</v>
      </c>
      <c r="H19" t="str">
        <v>外系/跨系</v>
      </c>
      <c r="I19" t="str">
        <v>進階專業</v>
      </c>
    </row>
    <row r="20">
      <c r="A20" t="b">
        <v>0</v>
      </c>
      <c r="B20" t="str">
        <v>EA-15</v>
      </c>
      <c r="C20" t="str">
        <v>數位行銷</v>
      </c>
      <c r="D20" t="str">
        <v>國際商務系</v>
      </c>
      <c r="E20" t="str">
        <v>選修</v>
      </c>
      <c r="F20">
        <v>2</v>
      </c>
      <c r="G20" t="str">
        <v>依學期開設</v>
      </c>
      <c r="H20" t="str">
        <v>外系/跨系</v>
      </c>
      <c r="I20" t="str">
        <v>進階專業</v>
      </c>
    </row>
    <row r="21">
      <c r="A21" t="b">
        <v>0</v>
      </c>
      <c r="B21" t="str">
        <v>EA-16</v>
      </c>
      <c r="C21" t="str">
        <v>網路行銷</v>
      </c>
      <c r="D21" t="str">
        <v>應用外語系</v>
      </c>
      <c r="E21" t="str">
        <v>選修</v>
      </c>
      <c r="F21">
        <v>2</v>
      </c>
      <c r="G21" t="str">
        <v>依學期開設</v>
      </c>
      <c r="H21" t="str">
        <v>外系/跨系</v>
      </c>
      <c r="I21" t="str">
        <v>進階專業</v>
      </c>
    </row>
    <row r="22">
      <c r="A22" t="b">
        <v>0</v>
      </c>
      <c r="B22" t="str">
        <v>EA-17</v>
      </c>
      <c r="C22" t="str">
        <v>市場開發策略</v>
      </c>
      <c r="D22" t="str">
        <v>應用外語系</v>
      </c>
      <c r="E22" t="str">
        <v>選修</v>
      </c>
      <c r="F22">
        <v>2</v>
      </c>
      <c r="G22" t="str">
        <v>依學期開設</v>
      </c>
      <c r="H22" t="str">
        <v>外系/跨系</v>
      </c>
      <c r="I22" t="str">
        <v>進階專業</v>
      </c>
    </row>
    <row r="23">
      <c r="A23" t="b">
        <v>0</v>
      </c>
      <c r="B23" t="str">
        <v>EA-18</v>
      </c>
      <c r="C23" t="str">
        <v>AI 行銷應用</v>
      </c>
      <c r="D23" t="str">
        <v>應用外語系</v>
      </c>
      <c r="E23" t="str">
        <v>選修</v>
      </c>
      <c r="F23">
        <v>2</v>
      </c>
      <c r="G23" t="str">
        <v>依學期開設</v>
      </c>
      <c r="H23" t="str">
        <v>外系/跨系</v>
      </c>
      <c r="I23" t="str">
        <v>進階專業</v>
      </c>
    </row>
    <row r="25">
      <c r="A25" t="str">
        <v>--- 學程試算統計加總列 ---</v>
      </c>
    </row>
    <row r="26">
      <c r="A26" t="str">
        <v>已修畢總學分</v>
      </c>
      <c r="B26" t="str">
        <v/>
      </c>
      <c r="C26" t="str">
        <v/>
      </c>
      <c r="D26" t="str">
        <v/>
      </c>
      <c r="E26" t="str">
        <v/>
      </c>
      <c r="F26">
        <f>=SUMIF(A6:A23, TRUE, F6:F23)</f>
      </c>
      <c r="G26" t="str">
        <v/>
      </c>
      <c r="H26" t="str">
        <v>門檻標準: 8 學分</v>
      </c>
    </row>
    <row r="27">
      <c r="A27" t="str">
        <v>核心必修學分</v>
      </c>
      <c r="B27" t="str">
        <v/>
      </c>
      <c r="C27" t="str">
        <v/>
      </c>
      <c r="D27" t="str">
        <v/>
      </c>
      <c r="E27" t="str">
        <v/>
      </c>
      <c r="F27">
        <f>=SUMIFS(F6:F23, A6:A23, TRUE, E6:E23, "必修")</f>
      </c>
      <c r="G27" t="str">
        <v/>
      </c>
      <c r="H27" t="str">
        <v>必修門檻: 0 學分</v>
      </c>
    </row>
    <row r="28">
      <c r="A28" t="str">
        <v>專業選修學分</v>
      </c>
      <c r="B28" t="str">
        <v/>
      </c>
      <c r="C28" t="str">
        <v/>
      </c>
      <c r="D28" t="str">
        <v/>
      </c>
      <c r="E28" t="str">
        <v/>
      </c>
      <c r="F28">
        <f>=SUMIFS(F6:F23, A6:A23, TRUE, E6:E23, "選修")</f>
      </c>
      <c r="G28" t="str">
        <v/>
      </c>
      <c r="H28" t="str">
        <v>選修門檻: 0 學分</v>
      </c>
    </row>
    <row r="29">
      <c r="A29" t="str">
        <v>本系修課學分</v>
      </c>
      <c r="B29" t="str">
        <v/>
      </c>
      <c r="C29" t="str">
        <v/>
      </c>
      <c r="D29" t="str">
        <v/>
      </c>
      <c r="E29" t="str">
        <v/>
      </c>
      <c r="F29">
        <f>=SUMIFS(F6:F23, A6:A23, TRUE, H6:H23, "本系 (資管)")</f>
      </c>
    </row>
    <row r="30">
      <c r="A30" t="str">
        <v>跨系修課門數</v>
      </c>
      <c r="B30" t="str">
        <v/>
      </c>
      <c r="C30" t="str">
        <v/>
      </c>
      <c r="D30" t="str">
        <v/>
      </c>
      <c r="E30" t="str">
        <v/>
      </c>
      <c r="F30">
        <f>=COUNTIFS(A6:A23, TRUE, H6:H23, "外系/跨系")</f>
      </c>
      <c r="G30" t="str">
        <v/>
      </c>
      <c r="H30" t="str">
        <v>跨系限制: 至少1門</v>
      </c>
    </row>
    <row r="31">
      <c r="A31" t="str">
        <v>證書取得資格</v>
      </c>
      <c r="B31" t="str">
        <v/>
      </c>
      <c r="C31" t="str">
        <v/>
      </c>
      <c r="D31" t="str">
        <v/>
      </c>
      <c r="E31" t="str">
        <v/>
      </c>
      <c r="F31">
        <f>=IF(AND(F26&gt;=8, F27&gt;=0, IF("true"="true", F30&gt;=1, TRUE)), "🟢 ✓ 符合資格 (可申請證書)", "🔴 尚未達標 (學分不足或缺跨系)")</f>
      </c>
    </row>
  </sheetData>
  <ignoredErrors>
    <ignoredError numberStoredAsText="1" sqref="A1:I31"/>
  </ignoredErrors>
</worksheet>
</file>

<file path=xl/worksheets/sheet12.xml><?xml version="1.0" encoding="utf-8"?>
<worksheet xmlns="http://schemas.openxmlformats.org/spreadsheetml/2006/main" xmlns:r="http://schemas.openxmlformats.org/officeDocument/2006/relationships">
  <dimension ref="A1:J13"/>
  <sheetViews>
    <sheetView workbookViewId="0"/>
  </sheetViews>
  <cols>
    <col min="1" max="1" width="25.83203125" customWidth="1"/>
    <col min="2" max="2" width="10.83203125" customWidth="1"/>
    <col min="3" max="3" width="16.83203125" customWidth="1"/>
    <col min="4" max="4" width="25.83203125" customWidth="1"/>
    <col min="5" max="5" width="12.83203125" customWidth="1"/>
    <col min="6" max="6" width="12.83203125" customWidth="1"/>
    <col min="7" max="7" width="12.83203125" customWidth="1"/>
    <col min="8" max="8" width="18.83203125" customWidth="1"/>
    <col min="9" max="9" width="45.83203125" customWidth="1"/>
    <col min="10" max="10" width="45.83203125" customWidth="1"/>
  </cols>
  <sheetData>
    <row r="1">
      <c r="A1" t="str">
        <v>國立臺北商業大學 9 大學分學程與微學程簡章設置要點暨修業證明申請流程指引</v>
      </c>
    </row>
    <row r="2">
      <c r="A2" t="str">
        <v>資料來源：北商大官方簡章與教務處計畫書公告</v>
      </c>
    </row>
    <row r="4">
      <c r="A4" t="str">
        <v>學程名稱</v>
      </c>
      <c r="B4" t="str">
        <v>學程類別</v>
      </c>
      <c r="C4" t="str">
        <v>規劃設置單位</v>
      </c>
      <c r="D4" t="str">
        <v>參與教學單位</v>
      </c>
      <c r="E4" t="str">
        <v>應修總門檻</v>
      </c>
      <c r="F4" t="str">
        <v>必修門檻</v>
      </c>
      <c r="G4" t="str">
        <v>選修門檻</v>
      </c>
      <c r="H4" t="str">
        <v>跨系修課要求</v>
      </c>
      <c r="I4" t="str">
        <v>設置宗旨與核心目標</v>
      </c>
      <c r="J4" t="str">
        <v>修業證書申請辦法</v>
      </c>
    </row>
    <row r="5">
      <c r="A5" t="str">
        <v>企業永續經營管理學分學程</v>
      </c>
      <c r="B5" t="str">
        <v>學分學程</v>
      </c>
      <c r="C5" t="str">
        <v>企業管理系</v>
      </c>
      <c r="D5" t="str">
        <v>企業管理系、國際商務系、會計資訊系、財務金融系、資訊管理系、通識教育中心</v>
      </c>
      <c r="E5" t="str">
        <v>15 學分</v>
      </c>
      <c r="F5" t="str">
        <v>2 學分</v>
      </c>
      <c r="G5" t="str">
        <v>13 學分</v>
      </c>
      <c r="H5" t="str">
        <v>需至少跨修一門外系</v>
      </c>
      <c r="I5" t="str">
        <v>本學程之設置宗旨在於整合本校各系科有關企業永續經營管理之相關課程，培育產業界所需之管理技能整合的實務人才，增加學生競爭力，達到畢業即就業目標。</v>
      </c>
      <c r="J5" t="str">
        <v>修滿規定學分後，檢具歷年成績表經主辦單位審查無誤，並經教務長與校長核定後，由教務處發給修業證明書。</v>
      </c>
    </row>
    <row r="6">
      <c r="A6" t="str">
        <v>創新與創業管理學分學程</v>
      </c>
      <c r="B6" t="str">
        <v>學分學程</v>
      </c>
      <c r="C6" t="str">
        <v>企業管理系</v>
      </c>
      <c r="D6" t="str">
        <v>企業管理系、國際商務系、財務金融系、會計資訊系、應用外語系</v>
      </c>
      <c r="E6" t="str">
        <v>15 學分</v>
      </c>
      <c r="F6" t="str">
        <v>2 學分</v>
      </c>
      <c r="G6" t="str">
        <v>13 學分</v>
      </c>
      <c r="H6" t="str">
        <v>需至少跨修一門外系</v>
      </c>
      <c r="I6" t="str">
        <v>本學程之設置宗旨在於整合本校各系科創業管理之相關課程，培養學生創新思維及創業家精神，以及學習開創事業相關知識及實務能力，使得學生能夠結合本身專業知能，進而實踐創業理想與目標。</v>
      </c>
      <c r="J6" t="str">
        <v>修滿規定學分後，檢具歷年成績表經主辦單位審查無誤，並經教務長與校長核定後，由教務處發給修業證明書。</v>
      </c>
    </row>
    <row r="7">
      <c r="A7" t="str">
        <v>外語與商務學分學程</v>
      </c>
      <c r="B7" t="str">
        <v>學分學程</v>
      </c>
      <c r="C7" t="str">
        <v>國際商務系、應用外語系</v>
      </c>
      <c r="D7" t="str">
        <v>國際商務系、應用外語系</v>
      </c>
      <c r="E7" t="str">
        <v>15 學分</v>
      </c>
      <c r="F7" t="str">
        <v>依規定</v>
      </c>
      <c r="G7" t="str">
        <v>依規定</v>
      </c>
      <c r="H7" t="str">
        <v>需至少跨修一門外系</v>
      </c>
      <c r="I7" t="str">
        <v>因應全球經濟發展重要動能，產業對外語與國際商務專業人才需求日增，特設置「外語與商務學分學程」。本學分學程結合理論與實務課程，培養學生具備外語實務能力、國際商務管理專業素養。藉由跨領域學習，提升學生就業競爭力，拓展多元職涯發展，達成畢業即就業之目標。</v>
      </c>
      <c r="J7" t="str">
        <v>修滿規定學分後，檢具歷年成績表經主辦單位審查無誤，並經教務長與校長核定後，由教務處發給修業證明書。</v>
      </c>
    </row>
    <row r="8">
      <c r="A8" t="str">
        <v>大數據微學程</v>
      </c>
      <c r="B8" t="str">
        <v>微學程</v>
      </c>
      <c r="C8" t="str">
        <v>財經學院</v>
      </c>
      <c r="D8" t="str">
        <v>會計資訊系、財務金融系、財政稅務系、資訊管理系</v>
      </c>
      <c r="E8" t="str">
        <v>8 學分</v>
      </c>
      <c r="F8" t="str">
        <v>依規定</v>
      </c>
      <c r="G8" t="str">
        <v>依規定</v>
      </c>
      <c r="H8" t="str">
        <v>需至少跨修一門外系</v>
      </c>
      <c r="I8" t="str">
        <v>為培育學生具備洗錢/資恐風險意識及防制洗錢的觀念，深化學生具備應用數位科技於風險管理與防制洗錢之能力，未來在業界能成為數位洗防人才。</v>
      </c>
      <c r="J8" t="str">
        <v>修滿規定學分後，檢具歷年成績表經主辦單位審查無誤，並經教務長與校長核定後，由教務處發給修業證明書。</v>
      </c>
    </row>
    <row r="9">
      <c r="A9" t="str">
        <v>數位行銷學分學程</v>
      </c>
      <c r="B9" t="str">
        <v>學分學程</v>
      </c>
      <c r="C9" t="str">
        <v>企業管理系</v>
      </c>
      <c r="D9" t="str">
        <v>企業管理系、資訊管理系、國際商務系、應用外語系、會計資訊系</v>
      </c>
      <c r="E9" t="str">
        <v>15 學分</v>
      </c>
      <c r="F9" t="str">
        <v>2 學分</v>
      </c>
      <c r="G9" t="str">
        <v>13 學分</v>
      </c>
      <c r="H9" t="str">
        <v>需至少跨修一門外系</v>
      </c>
      <c r="I9" t="str">
        <v>本學程之設置宗旨在於整合本校各系科數位行銷之相關課程，培養學生兼具數位科技、商務及行銷管理的知識，成為數位時代下產業界所需之專業人才。</v>
      </c>
      <c r="J9" t="str">
        <v>修滿規定學分後，檢具歷年成績表經主辦單位審查無誤，並經教務長與校長核定後，由教務處發給修業證明書。</v>
      </c>
    </row>
    <row r="10">
      <c r="A10" t="str">
        <v>數位行銷與語言科技應用微學程</v>
      </c>
      <c r="B10" t="str">
        <v>微學程</v>
      </c>
      <c r="C10" t="str">
        <v>國際行銷學院</v>
      </c>
      <c r="D10" t="str">
        <v>國際商務系、應用外語系</v>
      </c>
      <c r="E10" t="str">
        <v>8 學分</v>
      </c>
      <c r="F10" t="str">
        <v>依規定</v>
      </c>
      <c r="G10" t="str">
        <v>依規定</v>
      </c>
      <c r="H10" t="str">
        <v>需至少跨修一門外系</v>
      </c>
      <c r="I10" t="str">
        <v>為培育具備數位科技素養與實務應用能力的跨領域專業人才，國際行銷學院整合應用外語系與國際商務系資源，開設此微學程。本學程透過涵蓋程式設計、多媒體製作、數位行銷與 AI 應用等課程，使學生具備運用數位工具解決實務問題的能力，強化未來職場的數位競爭力與跨域溝通協作能力。</v>
      </c>
      <c r="J10" t="str">
        <v>修滿規定學分後，檢具歷年成績表經主辦單位審查無誤，並經教務長與校長核定後，由教務處發給修業證明書。</v>
      </c>
    </row>
    <row r="11">
      <c r="A11" t="str">
        <v>數據分析與視覺化微學程</v>
      </c>
      <c r="B11" t="str">
        <v>微學程</v>
      </c>
      <c r="C11" t="str">
        <v>資訊管理系</v>
      </c>
      <c r="D11" t="str">
        <v>資訊管理系、會計資訊系、財務金融系、創意科技與產品設計系、資訊與決策科學研究所</v>
      </c>
      <c r="E11" t="str">
        <v>8 學分</v>
      </c>
      <c r="F11" t="str">
        <v>依規定</v>
      </c>
      <c r="G11" t="str">
        <v>依規定</v>
      </c>
      <c r="H11" t="str">
        <v>需至少跨修一門外系</v>
      </c>
      <c r="I11" t="str">
        <v>本校資訊管理系為整合本校各系科數據分析與視覺化應用之相關課程，培養產業界所需之實務人才，增加學生競爭力，達到畢業即就業之目標，特設置本學程。</v>
      </c>
      <c r="J11" t="str">
        <v>修滿規定學分後，檢具歷年成績表經主辦單位審查無誤，並經教務長與校長核定後，由教務處發給修業證明書。</v>
      </c>
    </row>
    <row r="12">
      <c r="A12" t="str">
        <v>社群媒體行銷微學程</v>
      </c>
      <c r="B12" t="str">
        <v>微學程</v>
      </c>
      <c r="C12" t="str">
        <v>創新設計與經營學院</v>
      </c>
      <c r="D12" t="str">
        <v>商業設計管理系、數位多媒體設計系、創意科技與產品設計系</v>
      </c>
      <c r="E12" t="str">
        <v>12 學分</v>
      </c>
      <c r="F12" t="str">
        <v>依規定</v>
      </c>
      <c r="G12" t="str">
        <v>依規定</v>
      </c>
      <c r="H12" t="str">
        <v>需至少跨修一門外系</v>
      </c>
      <c r="I12" t="str">
        <v>社群媒體已成為近年來最重要的網路行銷工具，如何善用社群媒體的設計結合網路進行品牌行銷、創新創業是身為新世代的年輕人都需要具備的素養與能力。本微學程主要培養學生具有品牌經營與創新的思維，並具備設計及運用社群媒體進行行銷的能力。</v>
      </c>
      <c r="J12" t="str">
        <v>修滿規定學分後，檢具歷年成績表經主辦單位審查無誤，並經教務長與校長核定後，由教務處發給修業證明書。</v>
      </c>
    </row>
    <row r="13">
      <c r="A13" t="str">
        <v>東亞語言與商務微學程</v>
      </c>
      <c r="B13" t="str">
        <v>微學程</v>
      </c>
      <c r="C13" t="str">
        <v>國際商務系</v>
      </c>
      <c r="D13" t="str">
        <v>國際商務系、應用外語系</v>
      </c>
      <c r="E13" t="str">
        <v>8 學分</v>
      </c>
      <c r="F13" t="str">
        <v>依規定</v>
      </c>
      <c r="G13" t="str">
        <v>依規定</v>
      </c>
      <c r="H13" t="str">
        <v>需至少跨修一門外系</v>
      </c>
      <c r="I13" t="str">
        <v>隨著東亞成熟經濟體（日本、韓國）與東南亞新興經濟體逐漸成為全球經濟發展主要引擎，以及台灣與東南亞國協（ASEAN）經濟體之經貿往來日益熱絡，熟悉東亞商務的人才需求提高，為培育熟悉東亞語言、文化與社會、國際商務等專業之人才，特成立本學程。</v>
      </c>
      <c r="J13" t="str">
        <v>修滿規定學分後，檢具歷年成績表經主辦單位審查無誤，並經教務長與校長核定後，由教務處發給修業證明書。</v>
      </c>
    </row>
  </sheetData>
  <ignoredErrors>
    <ignoredError numberStoredAsText="1" sqref="A1:J13"/>
  </ignoredErrors>
</worksheet>
</file>

<file path=xl/worksheets/sheet13.xml><?xml version="1.0" encoding="utf-8"?>
<worksheet xmlns="http://schemas.openxmlformats.org/spreadsheetml/2006/main" xmlns:r="http://schemas.openxmlformats.org/officeDocument/2006/relationships">
  <dimension ref="A1:H12"/>
  <sheetViews>
    <sheetView workbookViewId="0"/>
  </sheetViews>
  <cols>
    <col min="1" max="1" width="18.83203125" customWidth="1"/>
    <col min="2" max="2" width="14.83203125" customWidth="1"/>
    <col min="3" max="3" width="30.83203125" customWidth="1"/>
    <col min="4" max="4" width="18.83203125" customWidth="1"/>
    <col min="5" max="5" width="10.83203125" customWidth="1"/>
    <col min="6" max="6" width="10.83203125" customWidth="1"/>
    <col min="7" max="7" width="12.83203125" customWidth="1"/>
    <col min="8" max="8" width="20.83203125" customWidth="1"/>
  </cols>
  <sheetData>
    <row r="1">
      <c r="A1" t="str">
        <v>個人自訂修課與畢業學分試算表 (可自由新增通識與選修)</v>
      </c>
    </row>
    <row r="2">
      <c r="A2" t="str">
        <v>A 欄為核取方塊 (TRUE 已修 / FALSE 未修)</v>
      </c>
    </row>
    <row r="4">
      <c r="A4" t="str">
        <v>修業狀態 (核取方塊)</v>
      </c>
      <c r="B4" t="str">
        <v>課程代碼</v>
      </c>
      <c r="C4" t="str">
        <v>課程名稱</v>
      </c>
      <c r="D4" t="str">
        <v>開課單位/系所</v>
      </c>
      <c r="E4" t="str">
        <v>修別</v>
      </c>
      <c r="F4" t="str">
        <v>學分數</v>
      </c>
      <c r="G4" t="str">
        <v>學期</v>
      </c>
      <c r="H4" t="str">
        <v>備註</v>
      </c>
    </row>
    <row r="5">
      <c r="A5" t="b">
        <v>1</v>
      </c>
      <c r="B5" t="str">
        <v>GE101</v>
      </c>
      <c r="C5" t="str">
        <v>大一英文 (一)</v>
      </c>
      <c r="D5" t="str">
        <v>通識中心</v>
      </c>
      <c r="E5" t="str">
        <v>必修</v>
      </c>
      <c r="F5">
        <v>2</v>
      </c>
      <c r="G5" t="str">
        <v>大一上</v>
      </c>
      <c r="H5" t="str">
        <v>通識必修</v>
      </c>
    </row>
    <row r="6">
      <c r="A6" t="b">
        <v>1</v>
      </c>
      <c r="B6" t="str">
        <v>GE102</v>
      </c>
      <c r="C6" t="str">
        <v>大一英文 (二)</v>
      </c>
      <c r="D6" t="str">
        <v>通識中心</v>
      </c>
      <c r="E6" t="str">
        <v>必修</v>
      </c>
      <c r="F6">
        <v>2</v>
      </c>
      <c r="G6" t="str">
        <v>大一下</v>
      </c>
      <c r="H6" t="str">
        <v>通識必修</v>
      </c>
    </row>
    <row r="7">
      <c r="A7" t="b">
        <v>1</v>
      </c>
      <c r="B7" t="str">
        <v>IM101</v>
      </c>
      <c r="C7" t="str">
        <v>計算機概論</v>
      </c>
      <c r="D7" t="str">
        <v>資訊管理系</v>
      </c>
      <c r="E7" t="str">
        <v>必修</v>
      </c>
      <c r="F7">
        <v>3</v>
      </c>
      <c r="G7" t="str">
        <v>大一上</v>
      </c>
      <c r="H7" t="str">
        <v>系定必修</v>
      </c>
    </row>
    <row r="8">
      <c r="A8" t="b">
        <v>1</v>
      </c>
      <c r="B8" t="str">
        <v>IM102</v>
      </c>
      <c r="C8" t="str">
        <v>程式設計 (Python)</v>
      </c>
      <c r="D8" t="str">
        <v>資訊管理系</v>
      </c>
      <c r="E8" t="str">
        <v>必修</v>
      </c>
      <c r="F8">
        <v>3</v>
      </c>
      <c r="G8" t="str">
        <v>大一下</v>
      </c>
      <c r="H8" t="str">
        <v>系定必修</v>
      </c>
    </row>
    <row r="9">
      <c r="A9" t="b">
        <v>0</v>
      </c>
      <c r="B9" t="str">
        <v>IM201</v>
      </c>
      <c r="C9" t="str">
        <v>資料結構</v>
      </c>
      <c r="D9" t="str">
        <v>資訊管理系</v>
      </c>
      <c r="E9" t="str">
        <v>必修</v>
      </c>
      <c r="F9">
        <v>3</v>
      </c>
      <c r="G9" t="str">
        <v>大二上</v>
      </c>
      <c r="H9" t="str">
        <v>系定必修</v>
      </c>
    </row>
    <row r="11">
      <c r="A11" t="str">
        <v>--- 畢業學分試算統計 ---</v>
      </c>
    </row>
    <row r="12">
      <c r="A12" t="str">
        <v>已修總學分小計</v>
      </c>
      <c r="B12" t="str">
        <v/>
      </c>
      <c r="C12" t="str">
        <v/>
      </c>
      <c r="D12" t="str">
        <v/>
      </c>
      <c r="E12" t="str">
        <v/>
      </c>
      <c r="F12">
        <f>=SUMIF(A5:A9, TRUE, F5:F9)</f>
      </c>
      <c r="G12" t="str">
        <v/>
      </c>
      <c r="H12" t="str">
        <v>畢業門檻: 128 學分</v>
      </c>
    </row>
  </sheetData>
  <ignoredErrors>
    <ignoredError numberStoredAsText="1" sqref="A1:H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13</vt:i4>
      </vt:variant>
    </vt:vector>
  </HeadingPairs>
  <TitlesOfParts>
    <vt:vector size="13" baseType="lpstr">
      <vt:lpstr>🎓證書資格審查總表</vt:lpstr>
      <vt:lpstr>📋全校課程總表</vt:lpstr>
      <vt:lpstr>企業永續經營管理</vt:lpstr>
      <vt:lpstr>創新與創業管理</vt:lpstr>
      <vt:lpstr>外語與商務</vt:lpstr>
      <vt:lpstr>大數據</vt:lpstr>
      <vt:lpstr>數位行銷</vt:lpstr>
      <vt:lpstr>數位行銷與語言科技應用</vt:lpstr>
      <vt:lpstr>數據分析與視覺化</vt:lpstr>
      <vt:lpstr>社群媒體行銷</vt:lpstr>
      <vt:lpstr>東亞語言與商務</vt:lpstr>
      <vt:lpstr>📖簡章設置要點</vt:lpstr>
      <vt:lpstr>✏️自訂學分表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